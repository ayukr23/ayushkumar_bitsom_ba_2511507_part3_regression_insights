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yubi\Downloads\ayushkumar_bitsom_ba_2511507_part3_regression_insights\data\"/>
    </mc:Choice>
  </mc:AlternateContent>
  <xr:revisionPtr revIDLastSave="0" documentId="13_ncr:1_{E3817EEC-EB60-4554-A907-AD247250F920}" xr6:coauthVersionLast="47" xr6:coauthVersionMax="47" xr10:uidLastSave="{00000000-0000-0000-0000-000000000000}"/>
  <bookViews>
    <workbookView xWindow="-96" yWindow="0" windowWidth="11712" windowHeight="12336" firstSheet="3" activeTab="3" xr2:uid="{00000000-000D-0000-FFFF-FFFF00000000}"/>
  </bookViews>
  <sheets>
    <sheet name="original_data" sheetId="1" r:id="rId1"/>
    <sheet name="cleaned_data" sheetId="2" r:id="rId2"/>
    <sheet name="dummy_var" sheetId="3" r:id="rId3"/>
    <sheet name="simple_reg" sheetId="8" r:id="rId4"/>
    <sheet name="multiple_reg" sheetId="5" r:id="rId5"/>
    <sheet name="predic_residuals" sheetId="6" r:id="rId6"/>
    <sheet name="model_com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321" i="2" l="1"/>
  <c r="AM321" i="2"/>
  <c r="AL321" i="2"/>
  <c r="AK321" i="2"/>
  <c r="AJ321" i="2"/>
  <c r="AI321" i="2"/>
  <c r="AN320" i="2"/>
  <c r="AM320" i="2"/>
  <c r="AL320" i="2"/>
  <c r="AK320" i="2"/>
  <c r="AJ320" i="2"/>
  <c r="AI320" i="2"/>
  <c r="AN319" i="2"/>
  <c r="AM319" i="2"/>
  <c r="AL319" i="2"/>
  <c r="AK319" i="2"/>
  <c r="AJ319" i="2"/>
  <c r="AI319" i="2"/>
  <c r="AN318" i="2"/>
  <c r="AM318" i="2"/>
  <c r="AL318" i="2"/>
  <c r="AK318" i="2"/>
  <c r="AJ318" i="2"/>
  <c r="AI318" i="2"/>
  <c r="AN317" i="2"/>
  <c r="AM317" i="2"/>
  <c r="AL317" i="2"/>
  <c r="AK317" i="2"/>
  <c r="AJ317" i="2"/>
  <c r="AI317" i="2"/>
  <c r="AN316" i="2"/>
  <c r="AM316" i="2"/>
  <c r="AL316" i="2"/>
  <c r="AK316" i="2"/>
  <c r="AJ316" i="2"/>
  <c r="AI316" i="2"/>
  <c r="AN315" i="2"/>
  <c r="AM315" i="2"/>
  <c r="AL315" i="2"/>
  <c r="AK315" i="2"/>
  <c r="AJ315" i="2"/>
  <c r="AI315" i="2"/>
  <c r="AN314" i="2"/>
  <c r="AM314" i="2"/>
  <c r="AL314" i="2"/>
  <c r="AK314" i="2"/>
  <c r="AJ314" i="2"/>
  <c r="AI314" i="2"/>
  <c r="AN313" i="2"/>
  <c r="AM313" i="2"/>
  <c r="AL313" i="2"/>
  <c r="AK313" i="2"/>
  <c r="AJ313" i="2"/>
  <c r="AI313" i="2"/>
  <c r="AN312" i="2"/>
  <c r="AM312" i="2"/>
  <c r="AL312" i="2"/>
  <c r="AK312" i="2"/>
  <c r="AJ312" i="2"/>
  <c r="AI312" i="2"/>
  <c r="AN311" i="2"/>
  <c r="AM311" i="2"/>
  <c r="AL311" i="2"/>
  <c r="AK311" i="2"/>
  <c r="AJ311" i="2"/>
  <c r="AI311" i="2"/>
  <c r="AN310" i="2"/>
  <c r="AM310" i="2"/>
  <c r="AL310" i="2"/>
  <c r="AK310" i="2"/>
  <c r="AJ310" i="2"/>
  <c r="AI310" i="2"/>
  <c r="AN309" i="2"/>
  <c r="AM309" i="2"/>
  <c r="AL309" i="2"/>
  <c r="AK309" i="2"/>
  <c r="AJ309" i="2"/>
  <c r="AI309" i="2"/>
  <c r="AN308" i="2"/>
  <c r="AM308" i="2"/>
  <c r="AL308" i="2"/>
  <c r="AK308" i="2"/>
  <c r="AJ308" i="2"/>
  <c r="AI308" i="2"/>
  <c r="AN307" i="2"/>
  <c r="AM307" i="2"/>
  <c r="AL307" i="2"/>
  <c r="AK307" i="2"/>
  <c r="AJ307" i="2"/>
  <c r="AI307" i="2"/>
  <c r="AN306" i="2"/>
  <c r="AM306" i="2"/>
  <c r="AL306" i="2"/>
  <c r="AK306" i="2"/>
  <c r="AJ306" i="2"/>
  <c r="AI306" i="2"/>
  <c r="AN305" i="2"/>
  <c r="AM305" i="2"/>
  <c r="AL305" i="2"/>
  <c r="AK305" i="2"/>
  <c r="AJ305" i="2"/>
  <c r="AI305" i="2"/>
  <c r="AN304" i="2"/>
  <c r="AM304" i="2"/>
  <c r="AL304" i="2"/>
  <c r="AK304" i="2"/>
  <c r="AJ304" i="2"/>
  <c r="AI304" i="2"/>
  <c r="AN303" i="2"/>
  <c r="AM303" i="2"/>
  <c r="AL303" i="2"/>
  <c r="AK303" i="2"/>
  <c r="AJ303" i="2"/>
  <c r="AI303" i="2"/>
  <c r="AN302" i="2"/>
  <c r="AM302" i="2"/>
  <c r="AL302" i="2"/>
  <c r="AK302" i="2"/>
  <c r="AJ302" i="2"/>
  <c r="AI302" i="2"/>
  <c r="AN301" i="2"/>
  <c r="AM301" i="2"/>
  <c r="AL301" i="2"/>
  <c r="AK301" i="2"/>
  <c r="AJ301" i="2"/>
  <c r="AI301" i="2"/>
  <c r="AN300" i="2"/>
  <c r="AM300" i="2"/>
  <c r="AL300" i="2"/>
  <c r="AK300" i="2"/>
  <c r="AJ300" i="2"/>
  <c r="AI300" i="2"/>
  <c r="AN299" i="2"/>
  <c r="AM299" i="2"/>
  <c r="AL299" i="2"/>
  <c r="AK299" i="2"/>
  <c r="AJ299" i="2"/>
  <c r="AI299" i="2"/>
  <c r="AN298" i="2"/>
  <c r="AM298" i="2"/>
  <c r="AL298" i="2"/>
  <c r="AK298" i="2"/>
  <c r="AJ298" i="2"/>
  <c r="AI298" i="2"/>
  <c r="AN297" i="2"/>
  <c r="AM297" i="2"/>
  <c r="AL297" i="2"/>
  <c r="AK297" i="2"/>
  <c r="AJ297" i="2"/>
  <c r="AI297" i="2"/>
  <c r="AN296" i="2"/>
  <c r="AM296" i="2"/>
  <c r="AL296" i="2"/>
  <c r="AK296" i="2"/>
  <c r="AJ296" i="2"/>
  <c r="AI296" i="2"/>
  <c r="AN295" i="2"/>
  <c r="AM295" i="2"/>
  <c r="AL295" i="2"/>
  <c r="AK295" i="2"/>
  <c r="AJ295" i="2"/>
  <c r="AI295" i="2"/>
  <c r="AN294" i="2"/>
  <c r="AM294" i="2"/>
  <c r="AL294" i="2"/>
  <c r="AK294" i="2"/>
  <c r="AJ294" i="2"/>
  <c r="AI294" i="2"/>
  <c r="AN293" i="2"/>
  <c r="AM293" i="2"/>
  <c r="AL293" i="2"/>
  <c r="AK293" i="2"/>
  <c r="AJ293" i="2"/>
  <c r="AI293" i="2"/>
  <c r="AN292" i="2"/>
  <c r="AM292" i="2"/>
  <c r="AL292" i="2"/>
  <c r="AK292" i="2"/>
  <c r="AJ292" i="2"/>
  <c r="AI292" i="2"/>
  <c r="AN291" i="2"/>
  <c r="AM291" i="2"/>
  <c r="AL291" i="2"/>
  <c r="AK291" i="2"/>
  <c r="AJ291" i="2"/>
  <c r="AI291" i="2"/>
  <c r="AN290" i="2"/>
  <c r="AM290" i="2"/>
  <c r="AL290" i="2"/>
  <c r="AK290" i="2"/>
  <c r="AJ290" i="2"/>
  <c r="AI290" i="2"/>
  <c r="AN289" i="2"/>
  <c r="AM289" i="2"/>
  <c r="AL289" i="2"/>
  <c r="AK289" i="2"/>
  <c r="AJ289" i="2"/>
  <c r="AI289" i="2"/>
  <c r="AN288" i="2"/>
  <c r="AM288" i="2"/>
  <c r="AL288" i="2"/>
  <c r="AK288" i="2"/>
  <c r="AJ288" i="2"/>
  <c r="AI288" i="2"/>
  <c r="AN287" i="2"/>
  <c r="AM287" i="2"/>
  <c r="AL287" i="2"/>
  <c r="AK287" i="2"/>
  <c r="AJ287" i="2"/>
  <c r="AI287" i="2"/>
  <c r="AN286" i="2"/>
  <c r="AM286" i="2"/>
  <c r="AL286" i="2"/>
  <c r="AK286" i="2"/>
  <c r="AJ286" i="2"/>
  <c r="AI286" i="2"/>
  <c r="AN285" i="2"/>
  <c r="AM285" i="2"/>
  <c r="AL285" i="2"/>
  <c r="AK285" i="2"/>
  <c r="AJ285" i="2"/>
  <c r="AI285" i="2"/>
  <c r="AN284" i="2"/>
  <c r="AM284" i="2"/>
  <c r="AL284" i="2"/>
  <c r="AK284" i="2"/>
  <c r="AJ284" i="2"/>
  <c r="AI284" i="2"/>
  <c r="AN283" i="2"/>
  <c r="AM283" i="2"/>
  <c r="AL283" i="2"/>
  <c r="AK283" i="2"/>
  <c r="AJ283" i="2"/>
  <c r="AI283" i="2"/>
  <c r="AN282" i="2"/>
  <c r="AM282" i="2"/>
  <c r="AL282" i="2"/>
  <c r="AK282" i="2"/>
  <c r="AJ282" i="2"/>
  <c r="AI282" i="2"/>
  <c r="AN281" i="2"/>
  <c r="AM281" i="2"/>
  <c r="AL281" i="2"/>
  <c r="AK281" i="2"/>
  <c r="AJ281" i="2"/>
  <c r="AI281" i="2"/>
  <c r="AN280" i="2"/>
  <c r="AM280" i="2"/>
  <c r="AL280" i="2"/>
  <c r="AK280" i="2"/>
  <c r="AJ280" i="2"/>
  <c r="AI280" i="2"/>
  <c r="AN279" i="2"/>
  <c r="AM279" i="2"/>
  <c r="AL279" i="2"/>
  <c r="AK279" i="2"/>
  <c r="AJ279" i="2"/>
  <c r="AI279" i="2"/>
  <c r="AN278" i="2"/>
  <c r="AM278" i="2"/>
  <c r="AL278" i="2"/>
  <c r="AK278" i="2"/>
  <c r="AJ278" i="2"/>
  <c r="AI278" i="2"/>
  <c r="AN277" i="2"/>
  <c r="AM277" i="2"/>
  <c r="AL277" i="2"/>
  <c r="AK277" i="2"/>
  <c r="AJ277" i="2"/>
  <c r="AI277" i="2"/>
  <c r="AN276" i="2"/>
  <c r="AM276" i="2"/>
  <c r="AL276" i="2"/>
  <c r="AK276" i="2"/>
  <c r="AJ276" i="2"/>
  <c r="AI276" i="2"/>
  <c r="AN275" i="2"/>
  <c r="AM275" i="2"/>
  <c r="AL275" i="2"/>
  <c r="AK275" i="2"/>
  <c r="AJ275" i="2"/>
  <c r="AI275" i="2"/>
  <c r="AN274" i="2"/>
  <c r="AM274" i="2"/>
  <c r="AL274" i="2"/>
  <c r="AK274" i="2"/>
  <c r="AJ274" i="2"/>
  <c r="AI274" i="2"/>
  <c r="AN273" i="2"/>
  <c r="AM273" i="2"/>
  <c r="AL273" i="2"/>
  <c r="AK273" i="2"/>
  <c r="AJ273" i="2"/>
  <c r="AI273" i="2"/>
  <c r="AN272" i="2"/>
  <c r="AM272" i="2"/>
  <c r="AL272" i="2"/>
  <c r="AK272" i="2"/>
  <c r="AJ272" i="2"/>
  <c r="AI272" i="2"/>
  <c r="AN271" i="2"/>
  <c r="AM271" i="2"/>
  <c r="AL271" i="2"/>
  <c r="AK271" i="2"/>
  <c r="AJ271" i="2"/>
  <c r="AI271" i="2"/>
  <c r="AN270" i="2"/>
  <c r="AM270" i="2"/>
  <c r="AL270" i="2"/>
  <c r="AK270" i="2"/>
  <c r="AJ270" i="2"/>
  <c r="AI270" i="2"/>
  <c r="AN269" i="2"/>
  <c r="AM269" i="2"/>
  <c r="AL269" i="2"/>
  <c r="AK269" i="2"/>
  <c r="AJ269" i="2"/>
  <c r="AI269" i="2"/>
  <c r="AN268" i="2"/>
  <c r="AM268" i="2"/>
  <c r="AL268" i="2"/>
  <c r="AK268" i="2"/>
  <c r="AJ268" i="2"/>
  <c r="AI268" i="2"/>
  <c r="AN267" i="2"/>
  <c r="AM267" i="2"/>
  <c r="AL267" i="2"/>
  <c r="AK267" i="2"/>
  <c r="AJ267" i="2"/>
  <c r="AI267" i="2"/>
  <c r="AN266" i="2"/>
  <c r="AM266" i="2"/>
  <c r="AL266" i="2"/>
  <c r="AK266" i="2"/>
  <c r="AJ266" i="2"/>
  <c r="AI266" i="2"/>
  <c r="AN265" i="2"/>
  <c r="AM265" i="2"/>
  <c r="AL265" i="2"/>
  <c r="AK265" i="2"/>
  <c r="AJ265" i="2"/>
  <c r="AI265" i="2"/>
  <c r="AN264" i="2"/>
  <c r="AM264" i="2"/>
  <c r="AL264" i="2"/>
  <c r="AK264" i="2"/>
  <c r="AJ264" i="2"/>
  <c r="AI264" i="2"/>
  <c r="AN263" i="2"/>
  <c r="AM263" i="2"/>
  <c r="AL263" i="2"/>
  <c r="AK263" i="2"/>
  <c r="AJ263" i="2"/>
  <c r="AI263" i="2"/>
  <c r="AN262" i="2"/>
  <c r="AM262" i="2"/>
  <c r="AL262" i="2"/>
  <c r="AK262" i="2"/>
  <c r="AJ262" i="2"/>
  <c r="AI262" i="2"/>
  <c r="AN261" i="2"/>
  <c r="AM261" i="2"/>
  <c r="AL261" i="2"/>
  <c r="AK261" i="2"/>
  <c r="AJ261" i="2"/>
  <c r="AI261" i="2"/>
  <c r="AN260" i="2"/>
  <c r="AM260" i="2"/>
  <c r="AL260" i="2"/>
  <c r="AK260" i="2"/>
  <c r="AJ260" i="2"/>
  <c r="AI260" i="2"/>
  <c r="AN259" i="2"/>
  <c r="AM259" i="2"/>
  <c r="AL259" i="2"/>
  <c r="AK259" i="2"/>
  <c r="AJ259" i="2"/>
  <c r="AI259" i="2"/>
  <c r="AN258" i="2"/>
  <c r="AM258" i="2"/>
  <c r="AL258" i="2"/>
  <c r="AK258" i="2"/>
  <c r="AJ258" i="2"/>
  <c r="AI258" i="2"/>
  <c r="AN257" i="2"/>
  <c r="AM257" i="2"/>
  <c r="AL257" i="2"/>
  <c r="AK257" i="2"/>
  <c r="AJ257" i="2"/>
  <c r="AI257" i="2"/>
  <c r="AN256" i="2"/>
  <c r="AM256" i="2"/>
  <c r="AL256" i="2"/>
  <c r="AK256" i="2"/>
  <c r="AJ256" i="2"/>
  <c r="AI256" i="2"/>
  <c r="AN255" i="2"/>
  <c r="AM255" i="2"/>
  <c r="AL255" i="2"/>
  <c r="AK255" i="2"/>
  <c r="AJ255" i="2"/>
  <c r="AI255" i="2"/>
  <c r="AN254" i="2"/>
  <c r="AM254" i="2"/>
  <c r="AL254" i="2"/>
  <c r="AK254" i="2"/>
  <c r="AJ254" i="2"/>
  <c r="AI254" i="2"/>
  <c r="AN253" i="2"/>
  <c r="AM253" i="2"/>
  <c r="AL253" i="2"/>
  <c r="AK253" i="2"/>
  <c r="AJ253" i="2"/>
  <c r="AI253" i="2"/>
  <c r="AN252" i="2"/>
  <c r="AM252" i="2"/>
  <c r="AL252" i="2"/>
  <c r="AK252" i="2"/>
  <c r="AJ252" i="2"/>
  <c r="AI252" i="2"/>
  <c r="AN251" i="2"/>
  <c r="AM251" i="2"/>
  <c r="AL251" i="2"/>
  <c r="AK251" i="2"/>
  <c r="AJ251" i="2"/>
  <c r="AI251" i="2"/>
  <c r="AN250" i="2"/>
  <c r="AM250" i="2"/>
  <c r="AL250" i="2"/>
  <c r="AK250" i="2"/>
  <c r="AJ250" i="2"/>
  <c r="AI250" i="2"/>
  <c r="AN249" i="2"/>
  <c r="AM249" i="2"/>
  <c r="AL249" i="2"/>
  <c r="AK249" i="2"/>
  <c r="AJ249" i="2"/>
  <c r="AI249" i="2"/>
  <c r="AN248" i="2"/>
  <c r="AM248" i="2"/>
  <c r="AL248" i="2"/>
  <c r="AK248" i="2"/>
  <c r="AJ248" i="2"/>
  <c r="AI248" i="2"/>
  <c r="AN247" i="2"/>
  <c r="AM247" i="2"/>
  <c r="AL247" i="2"/>
  <c r="AK247" i="2"/>
  <c r="AJ247" i="2"/>
  <c r="AI247" i="2"/>
  <c r="AN246" i="2"/>
  <c r="AM246" i="2"/>
  <c r="AL246" i="2"/>
  <c r="AK246" i="2"/>
  <c r="AJ246" i="2"/>
  <c r="AI246" i="2"/>
  <c r="AN245" i="2"/>
  <c r="AM245" i="2"/>
  <c r="AL245" i="2"/>
  <c r="AK245" i="2"/>
  <c r="AJ245" i="2"/>
  <c r="AI245" i="2"/>
  <c r="AN244" i="2"/>
  <c r="AM244" i="2"/>
  <c r="AL244" i="2"/>
  <c r="AK244" i="2"/>
  <c r="AJ244" i="2"/>
  <c r="AI244" i="2"/>
  <c r="AN243" i="2"/>
  <c r="AM243" i="2"/>
  <c r="AL243" i="2"/>
  <c r="AK243" i="2"/>
  <c r="AJ243" i="2"/>
  <c r="AI243" i="2"/>
  <c r="AN242" i="2"/>
  <c r="AM242" i="2"/>
  <c r="AL242" i="2"/>
  <c r="AK242" i="2"/>
  <c r="AJ242" i="2"/>
  <c r="AI242" i="2"/>
  <c r="AN241" i="2"/>
  <c r="AM241" i="2"/>
  <c r="AL241" i="2"/>
  <c r="AK241" i="2"/>
  <c r="AJ241" i="2"/>
  <c r="AI241" i="2"/>
  <c r="AN240" i="2"/>
  <c r="AM240" i="2"/>
  <c r="AL240" i="2"/>
  <c r="AK240" i="2"/>
  <c r="AJ240" i="2"/>
  <c r="AI240" i="2"/>
  <c r="AN239" i="2"/>
  <c r="AM239" i="2"/>
  <c r="AL239" i="2"/>
  <c r="AK239" i="2"/>
  <c r="AJ239" i="2"/>
  <c r="AI239" i="2"/>
  <c r="AN238" i="2"/>
  <c r="AM238" i="2"/>
  <c r="AL238" i="2"/>
  <c r="AK238" i="2"/>
  <c r="AJ238" i="2"/>
  <c r="AI238" i="2"/>
  <c r="AN237" i="2"/>
  <c r="AM237" i="2"/>
  <c r="AL237" i="2"/>
  <c r="AK237" i="2"/>
  <c r="AJ237" i="2"/>
  <c r="AI237" i="2"/>
  <c r="AN236" i="2"/>
  <c r="AM236" i="2"/>
  <c r="AL236" i="2"/>
  <c r="AK236" i="2"/>
  <c r="AJ236" i="2"/>
  <c r="AI236" i="2"/>
  <c r="AN235" i="2"/>
  <c r="AM235" i="2"/>
  <c r="AL235" i="2"/>
  <c r="AK235" i="2"/>
  <c r="AJ235" i="2"/>
  <c r="AI235" i="2"/>
  <c r="AN234" i="2"/>
  <c r="AM234" i="2"/>
  <c r="AL234" i="2"/>
  <c r="AK234" i="2"/>
  <c r="AJ234" i="2"/>
  <c r="AI234" i="2"/>
  <c r="AN233" i="2"/>
  <c r="AM233" i="2"/>
  <c r="AL233" i="2"/>
  <c r="AK233" i="2"/>
  <c r="AJ233" i="2"/>
  <c r="AI233" i="2"/>
  <c r="AN232" i="2"/>
  <c r="AM232" i="2"/>
  <c r="AL232" i="2"/>
  <c r="AK232" i="2"/>
  <c r="AJ232" i="2"/>
  <c r="AI232" i="2"/>
  <c r="AN231" i="2"/>
  <c r="AM231" i="2"/>
  <c r="AL231" i="2"/>
  <c r="AK231" i="2"/>
  <c r="AJ231" i="2"/>
  <c r="AI231" i="2"/>
  <c r="AN230" i="2"/>
  <c r="AM230" i="2"/>
  <c r="AL230" i="2"/>
  <c r="AK230" i="2"/>
  <c r="AJ230" i="2"/>
  <c r="AI230" i="2"/>
  <c r="AN229" i="2"/>
  <c r="AM229" i="2"/>
  <c r="AL229" i="2"/>
  <c r="AK229" i="2"/>
  <c r="AJ229" i="2"/>
  <c r="AI229" i="2"/>
  <c r="AN228" i="2"/>
  <c r="AM228" i="2"/>
  <c r="AL228" i="2"/>
  <c r="AK228" i="2"/>
  <c r="AJ228" i="2"/>
  <c r="AI228" i="2"/>
  <c r="AN227" i="2"/>
  <c r="AM227" i="2"/>
  <c r="AL227" i="2"/>
  <c r="AK227" i="2"/>
  <c r="AJ227" i="2"/>
  <c r="AI227" i="2"/>
  <c r="AN226" i="2"/>
  <c r="AM226" i="2"/>
  <c r="AL226" i="2"/>
  <c r="AK226" i="2"/>
  <c r="AJ226" i="2"/>
  <c r="AI226" i="2"/>
  <c r="AN225" i="2"/>
  <c r="AM225" i="2"/>
  <c r="AL225" i="2"/>
  <c r="AK225" i="2"/>
  <c r="AJ225" i="2"/>
  <c r="AI225" i="2"/>
  <c r="AN224" i="2"/>
  <c r="AM224" i="2"/>
  <c r="AL224" i="2"/>
  <c r="AK224" i="2"/>
  <c r="AJ224" i="2"/>
  <c r="AI224" i="2"/>
  <c r="AN223" i="2"/>
  <c r="AM223" i="2"/>
  <c r="AL223" i="2"/>
  <c r="AK223" i="2"/>
  <c r="AJ223" i="2"/>
  <c r="AI223" i="2"/>
  <c r="AN222" i="2"/>
  <c r="AM222" i="2"/>
  <c r="AL222" i="2"/>
  <c r="AK222" i="2"/>
  <c r="AJ222" i="2"/>
  <c r="AI222" i="2"/>
  <c r="AN221" i="2"/>
  <c r="AM221" i="2"/>
  <c r="AL221" i="2"/>
  <c r="AK221" i="2"/>
  <c r="AJ221" i="2"/>
  <c r="AI221" i="2"/>
  <c r="AN220" i="2"/>
  <c r="AM220" i="2"/>
  <c r="AL220" i="2"/>
  <c r="AK220" i="2"/>
  <c r="AJ220" i="2"/>
  <c r="AI220" i="2"/>
  <c r="AN219" i="2"/>
  <c r="AM219" i="2"/>
  <c r="AL219" i="2"/>
  <c r="AK219" i="2"/>
  <c r="AJ219" i="2"/>
  <c r="AI219" i="2"/>
  <c r="AN218" i="2"/>
  <c r="AM218" i="2"/>
  <c r="AL218" i="2"/>
  <c r="AK218" i="2"/>
  <c r="AJ218" i="2"/>
  <c r="AI218" i="2"/>
  <c r="AN217" i="2"/>
  <c r="AM217" i="2"/>
  <c r="AL217" i="2"/>
  <c r="AK217" i="2"/>
  <c r="AJ217" i="2"/>
  <c r="AI217" i="2"/>
  <c r="AN216" i="2"/>
  <c r="AM216" i="2"/>
  <c r="AL216" i="2"/>
  <c r="AK216" i="2"/>
  <c r="AJ216" i="2"/>
  <c r="AI216" i="2"/>
  <c r="AN215" i="2"/>
  <c r="AM215" i="2"/>
  <c r="AL215" i="2"/>
  <c r="AK215" i="2"/>
  <c r="AJ215" i="2"/>
  <c r="AI215" i="2"/>
  <c r="AN214" i="2"/>
  <c r="AM214" i="2"/>
  <c r="AL214" i="2"/>
  <c r="AK214" i="2"/>
  <c r="AJ214" i="2"/>
  <c r="AI214" i="2"/>
  <c r="AN213" i="2"/>
  <c r="AM213" i="2"/>
  <c r="AL213" i="2"/>
  <c r="AK213" i="2"/>
  <c r="AJ213" i="2"/>
  <c r="AI213" i="2"/>
  <c r="AN212" i="2"/>
  <c r="AM212" i="2"/>
  <c r="AL212" i="2"/>
  <c r="AK212" i="2"/>
  <c r="AJ212" i="2"/>
  <c r="AI212" i="2"/>
  <c r="AN211" i="2"/>
  <c r="AM211" i="2"/>
  <c r="AL211" i="2"/>
  <c r="AK211" i="2"/>
  <c r="AJ211" i="2"/>
  <c r="AI211" i="2"/>
  <c r="AN210" i="2"/>
  <c r="AM210" i="2"/>
  <c r="AL210" i="2"/>
  <c r="AK210" i="2"/>
  <c r="AJ210" i="2"/>
  <c r="AI210" i="2"/>
  <c r="AN209" i="2"/>
  <c r="AM209" i="2"/>
  <c r="AL209" i="2"/>
  <c r="AK209" i="2"/>
  <c r="AJ209" i="2"/>
  <c r="AI209" i="2"/>
  <c r="AN208" i="2"/>
  <c r="AM208" i="2"/>
  <c r="AL208" i="2"/>
  <c r="AK208" i="2"/>
  <c r="AJ208" i="2"/>
  <c r="AI208" i="2"/>
  <c r="AN207" i="2"/>
  <c r="AM207" i="2"/>
  <c r="AL207" i="2"/>
  <c r="AK207" i="2"/>
  <c r="AJ207" i="2"/>
  <c r="AI207" i="2"/>
  <c r="AN206" i="2"/>
  <c r="AM206" i="2"/>
  <c r="AL206" i="2"/>
  <c r="AK206" i="2"/>
  <c r="AJ206" i="2"/>
  <c r="AI206" i="2"/>
  <c r="AN205" i="2"/>
  <c r="AM205" i="2"/>
  <c r="AL205" i="2"/>
  <c r="AK205" i="2"/>
  <c r="AJ205" i="2"/>
  <c r="AI205" i="2"/>
  <c r="AN204" i="2"/>
  <c r="AM204" i="2"/>
  <c r="AL204" i="2"/>
  <c r="AK204" i="2"/>
  <c r="AJ204" i="2"/>
  <c r="AI204" i="2"/>
  <c r="AN203" i="2"/>
  <c r="AM203" i="2"/>
  <c r="AL203" i="2"/>
  <c r="AK203" i="2"/>
  <c r="AJ203" i="2"/>
  <c r="AI203" i="2"/>
  <c r="AN202" i="2"/>
  <c r="AM202" i="2"/>
  <c r="AL202" i="2"/>
  <c r="AK202" i="2"/>
  <c r="AJ202" i="2"/>
  <c r="AI202" i="2"/>
  <c r="AN201" i="2"/>
  <c r="AM201" i="2"/>
  <c r="AL201" i="2"/>
  <c r="AK201" i="2"/>
  <c r="AJ201" i="2"/>
  <c r="AI201" i="2"/>
  <c r="AN200" i="2"/>
  <c r="AM200" i="2"/>
  <c r="AL200" i="2"/>
  <c r="AK200" i="2"/>
  <c r="AJ200" i="2"/>
  <c r="AI200" i="2"/>
  <c r="AN199" i="2"/>
  <c r="AM199" i="2"/>
  <c r="AL199" i="2"/>
  <c r="AK199" i="2"/>
  <c r="AJ199" i="2"/>
  <c r="AI199" i="2"/>
  <c r="AN198" i="2"/>
  <c r="AM198" i="2"/>
  <c r="AL198" i="2"/>
  <c r="AK198" i="2"/>
  <c r="AJ198" i="2"/>
  <c r="AI198" i="2"/>
  <c r="AN197" i="2"/>
  <c r="AM197" i="2"/>
  <c r="AL197" i="2"/>
  <c r="AK197" i="2"/>
  <c r="AJ197" i="2"/>
  <c r="AI197" i="2"/>
  <c r="AN196" i="2"/>
  <c r="AM196" i="2"/>
  <c r="AL196" i="2"/>
  <c r="AK196" i="2"/>
  <c r="AJ196" i="2"/>
  <c r="AI196" i="2"/>
  <c r="AN195" i="2"/>
  <c r="AM195" i="2"/>
  <c r="AL195" i="2"/>
  <c r="AK195" i="2"/>
  <c r="AJ195" i="2"/>
  <c r="AI195" i="2"/>
  <c r="AN194" i="2"/>
  <c r="AM194" i="2"/>
  <c r="AL194" i="2"/>
  <c r="AK194" i="2"/>
  <c r="AJ194" i="2"/>
  <c r="AI194" i="2"/>
  <c r="AN193" i="2"/>
  <c r="AM193" i="2"/>
  <c r="AL193" i="2"/>
  <c r="AK193" i="2"/>
  <c r="AJ193" i="2"/>
  <c r="AI193" i="2"/>
  <c r="AN192" i="2"/>
  <c r="AM192" i="2"/>
  <c r="AL192" i="2"/>
  <c r="AK192" i="2"/>
  <c r="AJ192" i="2"/>
  <c r="AI192" i="2"/>
  <c r="AN191" i="2"/>
  <c r="AM191" i="2"/>
  <c r="AL191" i="2"/>
  <c r="AK191" i="2"/>
  <c r="AJ191" i="2"/>
  <c r="AI191" i="2"/>
  <c r="AN190" i="2"/>
  <c r="AM190" i="2"/>
  <c r="AL190" i="2"/>
  <c r="AK190" i="2"/>
  <c r="AJ190" i="2"/>
  <c r="AI190" i="2"/>
  <c r="AN189" i="2"/>
  <c r="AM189" i="2"/>
  <c r="AL189" i="2"/>
  <c r="AK189" i="2"/>
  <c r="AJ189" i="2"/>
  <c r="AI189" i="2"/>
  <c r="AN188" i="2"/>
  <c r="AM188" i="2"/>
  <c r="AL188" i="2"/>
  <c r="AK188" i="2"/>
  <c r="AJ188" i="2"/>
  <c r="AI188" i="2"/>
  <c r="AN187" i="2"/>
  <c r="AM187" i="2"/>
  <c r="AL187" i="2"/>
  <c r="AK187" i="2"/>
  <c r="AJ187" i="2"/>
  <c r="AI187" i="2"/>
  <c r="AN186" i="2"/>
  <c r="AM186" i="2"/>
  <c r="AL186" i="2"/>
  <c r="AK186" i="2"/>
  <c r="AJ186" i="2"/>
  <c r="AI186" i="2"/>
  <c r="AN185" i="2"/>
  <c r="AM185" i="2"/>
  <c r="AL185" i="2"/>
  <c r="AK185" i="2"/>
  <c r="AJ185" i="2"/>
  <c r="AI185" i="2"/>
  <c r="AN184" i="2"/>
  <c r="AM184" i="2"/>
  <c r="AL184" i="2"/>
  <c r="AK184" i="2"/>
  <c r="AJ184" i="2"/>
  <c r="AI184" i="2"/>
  <c r="AN183" i="2"/>
  <c r="AM183" i="2"/>
  <c r="AL183" i="2"/>
  <c r="AK183" i="2"/>
  <c r="AJ183" i="2"/>
  <c r="AI183" i="2"/>
  <c r="AN182" i="2"/>
  <c r="AM182" i="2"/>
  <c r="AL182" i="2"/>
  <c r="AK182" i="2"/>
  <c r="AJ182" i="2"/>
  <c r="AI182" i="2"/>
  <c r="AN181" i="2"/>
  <c r="AM181" i="2"/>
  <c r="AL181" i="2"/>
  <c r="AK181" i="2"/>
  <c r="AJ181" i="2"/>
  <c r="AI181" i="2"/>
  <c r="AN180" i="2"/>
  <c r="AM180" i="2"/>
  <c r="AL180" i="2"/>
  <c r="AK180" i="2"/>
  <c r="AJ180" i="2"/>
  <c r="AI180" i="2"/>
  <c r="AN179" i="2"/>
  <c r="AM179" i="2"/>
  <c r="AL179" i="2"/>
  <c r="AK179" i="2"/>
  <c r="AJ179" i="2"/>
  <c r="AI179" i="2"/>
  <c r="AN178" i="2"/>
  <c r="AM178" i="2"/>
  <c r="AL178" i="2"/>
  <c r="AK178" i="2"/>
  <c r="AJ178" i="2"/>
  <c r="AI178" i="2"/>
  <c r="AN177" i="2"/>
  <c r="AM177" i="2"/>
  <c r="AL177" i="2"/>
  <c r="AK177" i="2"/>
  <c r="AJ177" i="2"/>
  <c r="AI177" i="2"/>
  <c r="AN176" i="2"/>
  <c r="AM176" i="2"/>
  <c r="AL176" i="2"/>
  <c r="AK176" i="2"/>
  <c r="AJ176" i="2"/>
  <c r="AI176" i="2"/>
  <c r="AN175" i="2"/>
  <c r="AM175" i="2"/>
  <c r="AL175" i="2"/>
  <c r="AK175" i="2"/>
  <c r="AJ175" i="2"/>
  <c r="AI175" i="2"/>
  <c r="AN174" i="2"/>
  <c r="AM174" i="2"/>
  <c r="AL174" i="2"/>
  <c r="AK174" i="2"/>
  <c r="AJ174" i="2"/>
  <c r="AI174" i="2"/>
  <c r="AN173" i="2"/>
  <c r="AM173" i="2"/>
  <c r="AL173" i="2"/>
  <c r="AK173" i="2"/>
  <c r="AJ173" i="2"/>
  <c r="AI173" i="2"/>
  <c r="AN172" i="2"/>
  <c r="AM172" i="2"/>
  <c r="AL172" i="2"/>
  <c r="AK172" i="2"/>
  <c r="AJ172" i="2"/>
  <c r="AI172" i="2"/>
  <c r="AN171" i="2"/>
  <c r="AM171" i="2"/>
  <c r="AL171" i="2"/>
  <c r="AK171" i="2"/>
  <c r="AJ171" i="2"/>
  <c r="AI171" i="2"/>
  <c r="AN170" i="2"/>
  <c r="AM170" i="2"/>
  <c r="AL170" i="2"/>
  <c r="AK170" i="2"/>
  <c r="AJ170" i="2"/>
  <c r="AI170" i="2"/>
  <c r="AN169" i="2"/>
  <c r="AM169" i="2"/>
  <c r="AL169" i="2"/>
  <c r="AK169" i="2"/>
  <c r="AJ169" i="2"/>
  <c r="AI169" i="2"/>
  <c r="AN168" i="2"/>
  <c r="AM168" i="2"/>
  <c r="AL168" i="2"/>
  <c r="AK168" i="2"/>
  <c r="AJ168" i="2"/>
  <c r="AI168" i="2"/>
  <c r="AN167" i="2"/>
  <c r="AM167" i="2"/>
  <c r="AL167" i="2"/>
  <c r="AK167" i="2"/>
  <c r="AJ167" i="2"/>
  <c r="AI167" i="2"/>
  <c r="AN166" i="2"/>
  <c r="AM166" i="2"/>
  <c r="AL166" i="2"/>
  <c r="AK166" i="2"/>
  <c r="AJ166" i="2"/>
  <c r="AI166" i="2"/>
  <c r="AN165" i="2"/>
  <c r="AM165" i="2"/>
  <c r="AL165" i="2"/>
  <c r="AK165" i="2"/>
  <c r="AJ165" i="2"/>
  <c r="AI165" i="2"/>
  <c r="AN164" i="2"/>
  <c r="AM164" i="2"/>
  <c r="AL164" i="2"/>
  <c r="AK164" i="2"/>
  <c r="AJ164" i="2"/>
  <c r="AI164" i="2"/>
  <c r="AN163" i="2"/>
  <c r="AM163" i="2"/>
  <c r="AL163" i="2"/>
  <c r="AK163" i="2"/>
  <c r="AJ163" i="2"/>
  <c r="AI163" i="2"/>
  <c r="AN162" i="2"/>
  <c r="AM162" i="2"/>
  <c r="AL162" i="2"/>
  <c r="AK162" i="2"/>
  <c r="AJ162" i="2"/>
  <c r="AI162" i="2"/>
  <c r="AN161" i="2"/>
  <c r="AM161" i="2"/>
  <c r="AL161" i="2"/>
  <c r="AK161" i="2"/>
  <c r="AJ161" i="2"/>
  <c r="AI161" i="2"/>
  <c r="AN160" i="2"/>
  <c r="AM160" i="2"/>
  <c r="AL160" i="2"/>
  <c r="AK160" i="2"/>
  <c r="AJ160" i="2"/>
  <c r="AI160" i="2"/>
  <c r="AN159" i="2"/>
  <c r="AM159" i="2"/>
  <c r="AL159" i="2"/>
  <c r="AK159" i="2"/>
  <c r="AJ159" i="2"/>
  <c r="AI159" i="2"/>
  <c r="AN158" i="2"/>
  <c r="AM158" i="2"/>
  <c r="AL158" i="2"/>
  <c r="AK158" i="2"/>
  <c r="AJ158" i="2"/>
  <c r="AI158" i="2"/>
  <c r="AN157" i="2"/>
  <c r="AM157" i="2"/>
  <c r="AL157" i="2"/>
  <c r="AK157" i="2"/>
  <c r="AJ157" i="2"/>
  <c r="AI157" i="2"/>
  <c r="AN156" i="2"/>
  <c r="AM156" i="2"/>
  <c r="AL156" i="2"/>
  <c r="AK156" i="2"/>
  <c r="AJ156" i="2"/>
  <c r="AI156" i="2"/>
  <c r="AN155" i="2"/>
  <c r="AM155" i="2"/>
  <c r="AL155" i="2"/>
  <c r="AK155" i="2"/>
  <c r="AJ155" i="2"/>
  <c r="AI155" i="2"/>
  <c r="AN154" i="2"/>
  <c r="AM154" i="2"/>
  <c r="AL154" i="2"/>
  <c r="AK154" i="2"/>
  <c r="AJ154" i="2"/>
  <c r="AI154" i="2"/>
  <c r="AN153" i="2"/>
  <c r="AM153" i="2"/>
  <c r="AL153" i="2"/>
  <c r="AK153" i="2"/>
  <c r="AJ153" i="2"/>
  <c r="AI153" i="2"/>
  <c r="AN152" i="2"/>
  <c r="AM152" i="2"/>
  <c r="AL152" i="2"/>
  <c r="AK152" i="2"/>
  <c r="AJ152" i="2"/>
  <c r="AI152" i="2"/>
  <c r="AN151" i="2"/>
  <c r="AM151" i="2"/>
  <c r="AL151" i="2"/>
  <c r="AK151" i="2"/>
  <c r="AJ151" i="2"/>
  <c r="AI151" i="2"/>
  <c r="AN150" i="2"/>
  <c r="AM150" i="2"/>
  <c r="AL150" i="2"/>
  <c r="AK150" i="2"/>
  <c r="AJ150" i="2"/>
  <c r="AI150" i="2"/>
  <c r="AN149" i="2"/>
  <c r="AM149" i="2"/>
  <c r="AL149" i="2"/>
  <c r="AK149" i="2"/>
  <c r="AJ149" i="2"/>
  <c r="AI149" i="2"/>
  <c r="AN148" i="2"/>
  <c r="AM148" i="2"/>
  <c r="AL148" i="2"/>
  <c r="AK148" i="2"/>
  <c r="AJ148" i="2"/>
  <c r="AI148" i="2"/>
  <c r="AN147" i="2"/>
  <c r="AM147" i="2"/>
  <c r="AL147" i="2"/>
  <c r="AK147" i="2"/>
  <c r="AJ147" i="2"/>
  <c r="AI147" i="2"/>
  <c r="AN146" i="2"/>
  <c r="AM146" i="2"/>
  <c r="AL146" i="2"/>
  <c r="AK146" i="2"/>
  <c r="AJ146" i="2"/>
  <c r="AI146" i="2"/>
  <c r="AN145" i="2"/>
  <c r="AM145" i="2"/>
  <c r="AL145" i="2"/>
  <c r="AK145" i="2"/>
  <c r="AJ145" i="2"/>
  <c r="AI145" i="2"/>
  <c r="AN144" i="2"/>
  <c r="AM144" i="2"/>
  <c r="AL144" i="2"/>
  <c r="AK144" i="2"/>
  <c r="AJ144" i="2"/>
  <c r="AI144" i="2"/>
  <c r="AN143" i="2"/>
  <c r="AM143" i="2"/>
  <c r="AL143" i="2"/>
  <c r="AK143" i="2"/>
  <c r="AJ143" i="2"/>
  <c r="AI143" i="2"/>
  <c r="AN142" i="2"/>
  <c r="AM142" i="2"/>
  <c r="AL142" i="2"/>
  <c r="AK142" i="2"/>
  <c r="AJ142" i="2"/>
  <c r="AI142" i="2"/>
  <c r="AN141" i="2"/>
  <c r="AM141" i="2"/>
  <c r="AL141" i="2"/>
  <c r="AK141" i="2"/>
  <c r="AJ141" i="2"/>
  <c r="AI141" i="2"/>
  <c r="AN140" i="2"/>
  <c r="AM140" i="2"/>
  <c r="AL140" i="2"/>
  <c r="AK140" i="2"/>
  <c r="AJ140" i="2"/>
  <c r="AI140" i="2"/>
  <c r="AN139" i="2"/>
  <c r="AM139" i="2"/>
  <c r="AL139" i="2"/>
  <c r="AK139" i="2"/>
  <c r="AJ139" i="2"/>
  <c r="AI139" i="2"/>
  <c r="AN138" i="2"/>
  <c r="AM138" i="2"/>
  <c r="AL138" i="2"/>
  <c r="AK138" i="2"/>
  <c r="AJ138" i="2"/>
  <c r="AI138" i="2"/>
  <c r="AN137" i="2"/>
  <c r="AM137" i="2"/>
  <c r="AL137" i="2"/>
  <c r="AK137" i="2"/>
  <c r="AJ137" i="2"/>
  <c r="AI137" i="2"/>
  <c r="AN136" i="2"/>
  <c r="AM136" i="2"/>
  <c r="AL136" i="2"/>
  <c r="AK136" i="2"/>
  <c r="AJ136" i="2"/>
  <c r="AI136" i="2"/>
  <c r="AN135" i="2"/>
  <c r="AM135" i="2"/>
  <c r="AL135" i="2"/>
  <c r="AK135" i="2"/>
  <c r="AJ135" i="2"/>
  <c r="AI135" i="2"/>
  <c r="AN134" i="2"/>
  <c r="AM134" i="2"/>
  <c r="AL134" i="2"/>
  <c r="AK134" i="2"/>
  <c r="AJ134" i="2"/>
  <c r="AI134" i="2"/>
  <c r="AN133" i="2"/>
  <c r="AM133" i="2"/>
  <c r="AL133" i="2"/>
  <c r="AK133" i="2"/>
  <c r="AJ133" i="2"/>
  <c r="AI133" i="2"/>
  <c r="AN132" i="2"/>
  <c r="AM132" i="2"/>
  <c r="AL132" i="2"/>
  <c r="AK132" i="2"/>
  <c r="AJ132" i="2"/>
  <c r="AI132" i="2"/>
  <c r="AN131" i="2"/>
  <c r="AM131" i="2"/>
  <c r="AL131" i="2"/>
  <c r="AK131" i="2"/>
  <c r="AJ131" i="2"/>
  <c r="AI131" i="2"/>
  <c r="AN130" i="2"/>
  <c r="AM130" i="2"/>
  <c r="AL130" i="2"/>
  <c r="AK130" i="2"/>
  <c r="AJ130" i="2"/>
  <c r="AI130" i="2"/>
  <c r="AN129" i="2"/>
  <c r="AM129" i="2"/>
  <c r="AL129" i="2"/>
  <c r="AK129" i="2"/>
  <c r="AJ129" i="2"/>
  <c r="AI129" i="2"/>
  <c r="AN128" i="2"/>
  <c r="AM128" i="2"/>
  <c r="AL128" i="2"/>
  <c r="AK128" i="2"/>
  <c r="AJ128" i="2"/>
  <c r="AI128" i="2"/>
  <c r="AN127" i="2"/>
  <c r="AM127" i="2"/>
  <c r="AL127" i="2"/>
  <c r="AK127" i="2"/>
  <c r="AJ127" i="2"/>
  <c r="AI127" i="2"/>
  <c r="AN126" i="2"/>
  <c r="AM126" i="2"/>
  <c r="AL126" i="2"/>
  <c r="AK126" i="2"/>
  <c r="AJ126" i="2"/>
  <c r="AI126" i="2"/>
  <c r="AN125" i="2"/>
  <c r="AM125" i="2"/>
  <c r="AL125" i="2"/>
  <c r="AK125" i="2"/>
  <c r="AJ125" i="2"/>
  <c r="AI125" i="2"/>
  <c r="AN124" i="2"/>
  <c r="AM124" i="2"/>
  <c r="AL124" i="2"/>
  <c r="AK124" i="2"/>
  <c r="AJ124" i="2"/>
  <c r="AI124" i="2"/>
  <c r="AN123" i="2"/>
  <c r="AM123" i="2"/>
  <c r="AL123" i="2"/>
  <c r="AK123" i="2"/>
  <c r="AJ123" i="2"/>
  <c r="AI123" i="2"/>
  <c r="AN122" i="2"/>
  <c r="AM122" i="2"/>
  <c r="AL122" i="2"/>
  <c r="AK122" i="2"/>
  <c r="AJ122" i="2"/>
  <c r="AI122" i="2"/>
  <c r="AN121" i="2"/>
  <c r="AM121" i="2"/>
  <c r="AL121" i="2"/>
  <c r="AK121" i="2"/>
  <c r="AJ121" i="2"/>
  <c r="AI121" i="2"/>
  <c r="AN120" i="2"/>
  <c r="AM120" i="2"/>
  <c r="AL120" i="2"/>
  <c r="AK120" i="2"/>
  <c r="AJ120" i="2"/>
  <c r="AI120" i="2"/>
  <c r="AN119" i="2"/>
  <c r="AM119" i="2"/>
  <c r="AL119" i="2"/>
  <c r="AK119" i="2"/>
  <c r="AJ119" i="2"/>
  <c r="AI119" i="2"/>
  <c r="AN118" i="2"/>
  <c r="AM118" i="2"/>
  <c r="AL118" i="2"/>
  <c r="AK118" i="2"/>
  <c r="AJ118" i="2"/>
  <c r="AI118" i="2"/>
  <c r="AN117" i="2"/>
  <c r="AM117" i="2"/>
  <c r="AL117" i="2"/>
  <c r="AK117" i="2"/>
  <c r="AJ117" i="2"/>
  <c r="AI117" i="2"/>
  <c r="AN116" i="2"/>
  <c r="AM116" i="2"/>
  <c r="AL116" i="2"/>
  <c r="AK116" i="2"/>
  <c r="AJ116" i="2"/>
  <c r="AI116" i="2"/>
  <c r="AN115" i="2"/>
  <c r="AM115" i="2"/>
  <c r="AL115" i="2"/>
  <c r="AK115" i="2"/>
  <c r="AJ115" i="2"/>
  <c r="AI115" i="2"/>
  <c r="AN114" i="2"/>
  <c r="AM114" i="2"/>
  <c r="AL114" i="2"/>
  <c r="AK114" i="2"/>
  <c r="AJ114" i="2"/>
  <c r="AI114" i="2"/>
  <c r="AN113" i="2"/>
  <c r="AM113" i="2"/>
  <c r="AL113" i="2"/>
  <c r="AK113" i="2"/>
  <c r="AJ113" i="2"/>
  <c r="AI113" i="2"/>
  <c r="AN112" i="2"/>
  <c r="AM112" i="2"/>
  <c r="AL112" i="2"/>
  <c r="AK112" i="2"/>
  <c r="AJ112" i="2"/>
  <c r="AI112" i="2"/>
  <c r="AN111" i="2"/>
  <c r="AM111" i="2"/>
  <c r="AL111" i="2"/>
  <c r="AK111" i="2"/>
  <c r="AJ111" i="2"/>
  <c r="AI111" i="2"/>
  <c r="AN110" i="2"/>
  <c r="AM110" i="2"/>
  <c r="AL110" i="2"/>
  <c r="AK110" i="2"/>
  <c r="AJ110" i="2"/>
  <c r="AI110" i="2"/>
  <c r="AN109" i="2"/>
  <c r="AM109" i="2"/>
  <c r="AL109" i="2"/>
  <c r="AK109" i="2"/>
  <c r="AJ109" i="2"/>
  <c r="AI109" i="2"/>
  <c r="AN108" i="2"/>
  <c r="AM108" i="2"/>
  <c r="AL108" i="2"/>
  <c r="AK108" i="2"/>
  <c r="AJ108" i="2"/>
  <c r="AI108" i="2"/>
  <c r="AN107" i="2"/>
  <c r="AM107" i="2"/>
  <c r="AL107" i="2"/>
  <c r="AK107" i="2"/>
  <c r="AJ107" i="2"/>
  <c r="AI107" i="2"/>
  <c r="AN106" i="2"/>
  <c r="AM106" i="2"/>
  <c r="AL106" i="2"/>
  <c r="AK106" i="2"/>
  <c r="AJ106" i="2"/>
  <c r="AI106" i="2"/>
  <c r="AN105" i="2"/>
  <c r="AM105" i="2"/>
  <c r="AL105" i="2"/>
  <c r="AK105" i="2"/>
  <c r="AJ105" i="2"/>
  <c r="AI105" i="2"/>
  <c r="AN104" i="2"/>
  <c r="AM104" i="2"/>
  <c r="AL104" i="2"/>
  <c r="AK104" i="2"/>
  <c r="AJ104" i="2"/>
  <c r="AI104" i="2"/>
  <c r="AN103" i="2"/>
  <c r="AM103" i="2"/>
  <c r="AL103" i="2"/>
  <c r="AK103" i="2"/>
  <c r="AJ103" i="2"/>
  <c r="AI103" i="2"/>
  <c r="AN102" i="2"/>
  <c r="AM102" i="2"/>
  <c r="AL102" i="2"/>
  <c r="AK102" i="2"/>
  <c r="AJ102" i="2"/>
  <c r="AI102" i="2"/>
  <c r="AN101" i="2"/>
  <c r="AM101" i="2"/>
  <c r="AL101" i="2"/>
  <c r="AK101" i="2"/>
  <c r="AJ101" i="2"/>
  <c r="AI101" i="2"/>
  <c r="AN100" i="2"/>
  <c r="AM100" i="2"/>
  <c r="AL100" i="2"/>
  <c r="AK100" i="2"/>
  <c r="AJ100" i="2"/>
  <c r="AI100" i="2"/>
  <c r="AN99" i="2"/>
  <c r="AM99" i="2"/>
  <c r="AL99" i="2"/>
  <c r="AK99" i="2"/>
  <c r="AJ99" i="2"/>
  <c r="AI99" i="2"/>
  <c r="AN98" i="2"/>
  <c r="AM98" i="2"/>
  <c r="AL98" i="2"/>
  <c r="AK98" i="2"/>
  <c r="AJ98" i="2"/>
  <c r="AI98" i="2"/>
  <c r="AN97" i="2"/>
  <c r="AM97" i="2"/>
  <c r="AL97" i="2"/>
  <c r="AK97" i="2"/>
  <c r="AJ97" i="2"/>
  <c r="AI97" i="2"/>
  <c r="AN96" i="2"/>
  <c r="AM96" i="2"/>
  <c r="AL96" i="2"/>
  <c r="AK96" i="2"/>
  <c r="AJ96" i="2"/>
  <c r="AI96" i="2"/>
  <c r="AN95" i="2"/>
  <c r="AM95" i="2"/>
  <c r="AL95" i="2"/>
  <c r="AK95" i="2"/>
  <c r="AJ95" i="2"/>
  <c r="AI95" i="2"/>
  <c r="AN94" i="2"/>
  <c r="AM94" i="2"/>
  <c r="AL94" i="2"/>
  <c r="AK94" i="2"/>
  <c r="AJ94" i="2"/>
  <c r="AI94" i="2"/>
  <c r="AN93" i="2"/>
  <c r="AM93" i="2"/>
  <c r="AL93" i="2"/>
  <c r="AK93" i="2"/>
  <c r="AJ93" i="2"/>
  <c r="AI93" i="2"/>
  <c r="AN92" i="2"/>
  <c r="AM92" i="2"/>
  <c r="AL92" i="2"/>
  <c r="AK92" i="2"/>
  <c r="AJ92" i="2"/>
  <c r="AI92" i="2"/>
  <c r="AN91" i="2"/>
  <c r="AM91" i="2"/>
  <c r="AL91" i="2"/>
  <c r="AK91" i="2"/>
  <c r="AJ91" i="2"/>
  <c r="AI91" i="2"/>
  <c r="AN90" i="2"/>
  <c r="AM90" i="2"/>
  <c r="AL90" i="2"/>
  <c r="AK90" i="2"/>
  <c r="AJ90" i="2"/>
  <c r="AI90" i="2"/>
  <c r="AN89" i="2"/>
  <c r="AM89" i="2"/>
  <c r="AL89" i="2"/>
  <c r="AK89" i="2"/>
  <c r="AJ89" i="2"/>
  <c r="AI89" i="2"/>
  <c r="AN88" i="2"/>
  <c r="AM88" i="2"/>
  <c r="AL88" i="2"/>
  <c r="AK88" i="2"/>
  <c r="AJ88" i="2"/>
  <c r="AI88" i="2"/>
  <c r="AN87" i="2"/>
  <c r="AM87" i="2"/>
  <c r="AL87" i="2"/>
  <c r="AK87" i="2"/>
  <c r="AJ87" i="2"/>
  <c r="AI87" i="2"/>
  <c r="AN86" i="2"/>
  <c r="AM86" i="2"/>
  <c r="AL86" i="2"/>
  <c r="AK86" i="2"/>
  <c r="AJ86" i="2"/>
  <c r="AI86" i="2"/>
  <c r="AN85" i="2"/>
  <c r="AM85" i="2"/>
  <c r="AL85" i="2"/>
  <c r="AK85" i="2"/>
  <c r="AJ85" i="2"/>
  <c r="AI85" i="2"/>
  <c r="AN84" i="2"/>
  <c r="AM84" i="2"/>
  <c r="AL84" i="2"/>
  <c r="AK84" i="2"/>
  <c r="AJ84" i="2"/>
  <c r="AI84" i="2"/>
  <c r="AN83" i="2"/>
  <c r="AM83" i="2"/>
  <c r="AL83" i="2"/>
  <c r="AK83" i="2"/>
  <c r="AJ83" i="2"/>
  <c r="AI83" i="2"/>
  <c r="AN82" i="2"/>
  <c r="AM82" i="2"/>
  <c r="AL82" i="2"/>
  <c r="AK82" i="2"/>
  <c r="AJ82" i="2"/>
  <c r="AI82" i="2"/>
  <c r="AN81" i="2"/>
  <c r="AM81" i="2"/>
  <c r="AL81" i="2"/>
  <c r="AK81" i="2"/>
  <c r="AJ81" i="2"/>
  <c r="AI81" i="2"/>
  <c r="AN80" i="2"/>
  <c r="AM80" i="2"/>
  <c r="AL80" i="2"/>
  <c r="AK80" i="2"/>
  <c r="AJ80" i="2"/>
  <c r="AI80" i="2"/>
  <c r="AN79" i="2"/>
  <c r="AM79" i="2"/>
  <c r="AL79" i="2"/>
  <c r="AK79" i="2"/>
  <c r="AJ79" i="2"/>
  <c r="AI79" i="2"/>
  <c r="AN78" i="2"/>
  <c r="AM78" i="2"/>
  <c r="AL78" i="2"/>
  <c r="AK78" i="2"/>
  <c r="AJ78" i="2"/>
  <c r="AI78" i="2"/>
  <c r="AN77" i="2"/>
  <c r="AM77" i="2"/>
  <c r="AL77" i="2"/>
  <c r="AK77" i="2"/>
  <c r="AJ77" i="2"/>
  <c r="AI77" i="2"/>
  <c r="AN76" i="2"/>
  <c r="AM76" i="2"/>
  <c r="AL76" i="2"/>
  <c r="AK76" i="2"/>
  <c r="AJ76" i="2"/>
  <c r="AI76" i="2"/>
  <c r="AN75" i="2"/>
  <c r="AM75" i="2"/>
  <c r="AL75" i="2"/>
  <c r="AK75" i="2"/>
  <c r="AJ75" i="2"/>
  <c r="AI75" i="2"/>
  <c r="AN74" i="2"/>
  <c r="AM74" i="2"/>
  <c r="AL74" i="2"/>
  <c r="AK74" i="2"/>
  <c r="AJ74" i="2"/>
  <c r="AI74" i="2"/>
  <c r="AN73" i="2"/>
  <c r="AM73" i="2"/>
  <c r="AL73" i="2"/>
  <c r="AK73" i="2"/>
  <c r="AJ73" i="2"/>
  <c r="AI73" i="2"/>
  <c r="AN72" i="2"/>
  <c r="AM72" i="2"/>
  <c r="AL72" i="2"/>
  <c r="AK72" i="2"/>
  <c r="AJ72" i="2"/>
  <c r="AI72" i="2"/>
  <c r="AN71" i="2"/>
  <c r="AM71" i="2"/>
  <c r="AL71" i="2"/>
  <c r="AK71" i="2"/>
  <c r="AJ71" i="2"/>
  <c r="AI71" i="2"/>
  <c r="AN70" i="2"/>
  <c r="AM70" i="2"/>
  <c r="AL70" i="2"/>
  <c r="AK70" i="2"/>
  <c r="AJ70" i="2"/>
  <c r="AI70" i="2"/>
  <c r="AN69" i="2"/>
  <c r="AM69" i="2"/>
  <c r="AL69" i="2"/>
  <c r="AK69" i="2"/>
  <c r="AJ69" i="2"/>
  <c r="AI69" i="2"/>
  <c r="AN68" i="2"/>
  <c r="AM68" i="2"/>
  <c r="AL68" i="2"/>
  <c r="AK68" i="2"/>
  <c r="AJ68" i="2"/>
  <c r="AI68" i="2"/>
  <c r="AN67" i="2"/>
  <c r="AM67" i="2"/>
  <c r="AL67" i="2"/>
  <c r="AK67" i="2"/>
  <c r="AJ67" i="2"/>
  <c r="AI67" i="2"/>
  <c r="AN66" i="2"/>
  <c r="AM66" i="2"/>
  <c r="AL66" i="2"/>
  <c r="AK66" i="2"/>
  <c r="AJ66" i="2"/>
  <c r="AI66" i="2"/>
  <c r="AN65" i="2"/>
  <c r="AM65" i="2"/>
  <c r="AL65" i="2"/>
  <c r="AK65" i="2"/>
  <c r="AJ65" i="2"/>
  <c r="AI65" i="2"/>
  <c r="AN64" i="2"/>
  <c r="AM64" i="2"/>
  <c r="AL64" i="2"/>
  <c r="AK64" i="2"/>
  <c r="AJ64" i="2"/>
  <c r="AI64" i="2"/>
  <c r="AN63" i="2"/>
  <c r="AM63" i="2"/>
  <c r="AL63" i="2"/>
  <c r="AK63" i="2"/>
  <c r="AJ63" i="2"/>
  <c r="AI63" i="2"/>
  <c r="AN62" i="2"/>
  <c r="AM62" i="2"/>
  <c r="AL62" i="2"/>
  <c r="AK62" i="2"/>
  <c r="AJ62" i="2"/>
  <c r="AI62" i="2"/>
  <c r="AN61" i="2"/>
  <c r="AM61" i="2"/>
  <c r="AL61" i="2"/>
  <c r="AK61" i="2"/>
  <c r="AJ61" i="2"/>
  <c r="AI61" i="2"/>
  <c r="AN60" i="2"/>
  <c r="AM60" i="2"/>
  <c r="AL60" i="2"/>
  <c r="AK60" i="2"/>
  <c r="AJ60" i="2"/>
  <c r="AI60" i="2"/>
  <c r="AN59" i="2"/>
  <c r="AM59" i="2"/>
  <c r="AL59" i="2"/>
  <c r="AK59" i="2"/>
  <c r="AJ59" i="2"/>
  <c r="AI59" i="2"/>
  <c r="AN58" i="2"/>
  <c r="AM58" i="2"/>
  <c r="AL58" i="2"/>
  <c r="AK58" i="2"/>
  <c r="AJ58" i="2"/>
  <c r="AI58" i="2"/>
  <c r="AN57" i="2"/>
  <c r="AM57" i="2"/>
  <c r="AL57" i="2"/>
  <c r="AK57" i="2"/>
  <c r="AJ57" i="2"/>
  <c r="AI57" i="2"/>
  <c r="AN56" i="2"/>
  <c r="AM56" i="2"/>
  <c r="AL56" i="2"/>
  <c r="AK56" i="2"/>
  <c r="AJ56" i="2"/>
  <c r="AI56" i="2"/>
  <c r="AN55" i="2"/>
  <c r="AM55" i="2"/>
  <c r="AL55" i="2"/>
  <c r="AK55" i="2"/>
  <c r="AJ55" i="2"/>
  <c r="AI55" i="2"/>
  <c r="AN54" i="2"/>
  <c r="AM54" i="2"/>
  <c r="AL54" i="2"/>
  <c r="AK54" i="2"/>
  <c r="AJ54" i="2"/>
  <c r="AI54" i="2"/>
  <c r="AN53" i="2"/>
  <c r="AM53" i="2"/>
  <c r="AL53" i="2"/>
  <c r="AK53" i="2"/>
  <c r="AJ53" i="2"/>
  <c r="AI53" i="2"/>
  <c r="AN52" i="2"/>
  <c r="AM52" i="2"/>
  <c r="AL52" i="2"/>
  <c r="AK52" i="2"/>
  <c r="AJ52" i="2"/>
  <c r="AI52" i="2"/>
  <c r="AN51" i="2"/>
  <c r="AM51" i="2"/>
  <c r="AL51" i="2"/>
  <c r="AK51" i="2"/>
  <c r="AJ51" i="2"/>
  <c r="AI51" i="2"/>
  <c r="AN50" i="2"/>
  <c r="AM50" i="2"/>
  <c r="AL50" i="2"/>
  <c r="AK50" i="2"/>
  <c r="AJ50" i="2"/>
  <c r="AI50" i="2"/>
  <c r="AN49" i="2"/>
  <c r="AM49" i="2"/>
  <c r="AL49" i="2"/>
  <c r="AK49" i="2"/>
  <c r="AJ49" i="2"/>
  <c r="AI49" i="2"/>
  <c r="AN48" i="2"/>
  <c r="AM48" i="2"/>
  <c r="AL48" i="2"/>
  <c r="AK48" i="2"/>
  <c r="AJ48" i="2"/>
  <c r="AI48" i="2"/>
  <c r="AN47" i="2"/>
  <c r="AM47" i="2"/>
  <c r="AL47" i="2"/>
  <c r="AK47" i="2"/>
  <c r="AJ47" i="2"/>
  <c r="AI47" i="2"/>
  <c r="AN46" i="2"/>
  <c r="AM46" i="2"/>
  <c r="AL46" i="2"/>
  <c r="AK46" i="2"/>
  <c r="AJ46" i="2"/>
  <c r="AI46" i="2"/>
  <c r="AN45" i="2"/>
  <c r="AM45" i="2"/>
  <c r="AL45" i="2"/>
  <c r="AK45" i="2"/>
  <c r="AJ45" i="2"/>
  <c r="AI45" i="2"/>
  <c r="AN44" i="2"/>
  <c r="AM44" i="2"/>
  <c r="AL44" i="2"/>
  <c r="AK44" i="2"/>
  <c r="AJ44" i="2"/>
  <c r="AI44" i="2"/>
  <c r="AN43" i="2"/>
  <c r="AM43" i="2"/>
  <c r="AL43" i="2"/>
  <c r="AK43" i="2"/>
  <c r="AJ43" i="2"/>
  <c r="AI43" i="2"/>
  <c r="AN42" i="2"/>
  <c r="AM42" i="2"/>
  <c r="AL42" i="2"/>
  <c r="AK42" i="2"/>
  <c r="AJ42" i="2"/>
  <c r="AI42" i="2"/>
  <c r="AN41" i="2"/>
  <c r="AM41" i="2"/>
  <c r="AL41" i="2"/>
  <c r="AK41" i="2"/>
  <c r="AJ41" i="2"/>
  <c r="AI41" i="2"/>
  <c r="AN40" i="2"/>
  <c r="AM40" i="2"/>
  <c r="AL40" i="2"/>
  <c r="AK40" i="2"/>
  <c r="AJ40" i="2"/>
  <c r="AI40" i="2"/>
  <c r="AN39" i="2"/>
  <c r="AM39" i="2"/>
  <c r="AL39" i="2"/>
  <c r="AK39" i="2"/>
  <c r="AJ39" i="2"/>
  <c r="AI39" i="2"/>
  <c r="AN38" i="2"/>
  <c r="AM38" i="2"/>
  <c r="AL38" i="2"/>
  <c r="AK38" i="2"/>
  <c r="AJ38" i="2"/>
  <c r="AI38" i="2"/>
  <c r="AN37" i="2"/>
  <c r="AM37" i="2"/>
  <c r="AL37" i="2"/>
  <c r="AK37" i="2"/>
  <c r="AJ37" i="2"/>
  <c r="AI37" i="2"/>
  <c r="AN36" i="2"/>
  <c r="AM36" i="2"/>
  <c r="AL36" i="2"/>
  <c r="AK36" i="2"/>
  <c r="AJ36" i="2"/>
  <c r="AI36" i="2"/>
  <c r="AN35" i="2"/>
  <c r="AM35" i="2"/>
  <c r="AL35" i="2"/>
  <c r="AK35" i="2"/>
  <c r="AJ35" i="2"/>
  <c r="AI35" i="2"/>
  <c r="AN34" i="2"/>
  <c r="AM34" i="2"/>
  <c r="AL34" i="2"/>
  <c r="AK34" i="2"/>
  <c r="AJ34" i="2"/>
  <c r="AI34" i="2"/>
  <c r="AN33" i="2"/>
  <c r="AM33" i="2"/>
  <c r="AL33" i="2"/>
  <c r="AK33" i="2"/>
  <c r="AJ33" i="2"/>
  <c r="AI33" i="2"/>
  <c r="AN32" i="2"/>
  <c r="AM32" i="2"/>
  <c r="AL32" i="2"/>
  <c r="AK32" i="2"/>
  <c r="AJ32" i="2"/>
  <c r="AI32" i="2"/>
  <c r="AN31" i="2"/>
  <c r="AM31" i="2"/>
  <c r="AL31" i="2"/>
  <c r="AK31" i="2"/>
  <c r="AJ31" i="2"/>
  <c r="AI31" i="2"/>
  <c r="AN30" i="2"/>
  <c r="AM30" i="2"/>
  <c r="AL30" i="2"/>
  <c r="AK30" i="2"/>
  <c r="AJ30" i="2"/>
  <c r="AI30" i="2"/>
  <c r="AN29" i="2"/>
  <c r="AM29" i="2"/>
  <c r="AL29" i="2"/>
  <c r="AK29" i="2"/>
  <c r="AJ29" i="2"/>
  <c r="AI29" i="2"/>
  <c r="AN28" i="2"/>
  <c r="AM28" i="2"/>
  <c r="AL28" i="2"/>
  <c r="AK28" i="2"/>
  <c r="AJ28" i="2"/>
  <c r="AI28" i="2"/>
  <c r="AN27" i="2"/>
  <c r="AM27" i="2"/>
  <c r="AL27" i="2"/>
  <c r="AK27" i="2"/>
  <c r="AJ27" i="2"/>
  <c r="AI27" i="2"/>
  <c r="AN26" i="2"/>
  <c r="AM26" i="2"/>
  <c r="AL26" i="2"/>
  <c r="AK26" i="2"/>
  <c r="AJ26" i="2"/>
  <c r="AI26" i="2"/>
  <c r="AN25" i="2"/>
  <c r="AM25" i="2"/>
  <c r="AL25" i="2"/>
  <c r="AK25" i="2"/>
  <c r="AJ25" i="2"/>
  <c r="AI25" i="2"/>
  <c r="AN24" i="2"/>
  <c r="AM24" i="2"/>
  <c r="AL24" i="2"/>
  <c r="AK24" i="2"/>
  <c r="AJ24" i="2"/>
  <c r="AI24" i="2"/>
  <c r="AN23" i="2"/>
  <c r="AM23" i="2"/>
  <c r="AL23" i="2"/>
  <c r="AK23" i="2"/>
  <c r="AJ23" i="2"/>
  <c r="AI23" i="2"/>
  <c r="AN22" i="2"/>
  <c r="AM22" i="2"/>
  <c r="AL22" i="2"/>
  <c r="AK22" i="2"/>
  <c r="AJ22" i="2"/>
  <c r="AI22" i="2"/>
  <c r="AN21" i="2"/>
  <c r="AM21" i="2"/>
  <c r="AL21" i="2"/>
  <c r="AK21" i="2"/>
  <c r="AJ21" i="2"/>
  <c r="AI21" i="2"/>
  <c r="AN20" i="2"/>
  <c r="AM20" i="2"/>
  <c r="AL20" i="2"/>
  <c r="AK20" i="2"/>
  <c r="AJ20" i="2"/>
  <c r="AI20" i="2"/>
  <c r="AN19" i="2"/>
  <c r="AM19" i="2"/>
  <c r="AL19" i="2"/>
  <c r="AK19" i="2"/>
  <c r="AJ19" i="2"/>
  <c r="AI19" i="2"/>
  <c r="AN18" i="2"/>
  <c r="AM18" i="2"/>
  <c r="AL18" i="2"/>
  <c r="AK18" i="2"/>
  <c r="AJ18" i="2"/>
  <c r="AI18" i="2"/>
  <c r="AN17" i="2"/>
  <c r="AM17" i="2"/>
  <c r="AL17" i="2"/>
  <c r="AK17" i="2"/>
  <c r="AJ17" i="2"/>
  <c r="AI17" i="2"/>
  <c r="AN16" i="2"/>
  <c r="AM16" i="2"/>
  <c r="AL16" i="2"/>
  <c r="AK16" i="2"/>
  <c r="AJ16" i="2"/>
  <c r="AI16" i="2"/>
  <c r="AN15" i="2"/>
  <c r="AM15" i="2"/>
  <c r="AL15" i="2"/>
  <c r="AK15" i="2"/>
  <c r="AJ15" i="2"/>
  <c r="AI15" i="2"/>
  <c r="AN14" i="2"/>
  <c r="AM14" i="2"/>
  <c r="AL14" i="2"/>
  <c r="AK14" i="2"/>
  <c r="AJ14" i="2"/>
  <c r="AI14" i="2"/>
  <c r="AN13" i="2"/>
  <c r="AM13" i="2"/>
  <c r="AL13" i="2"/>
  <c r="AK13" i="2"/>
  <c r="AJ13" i="2"/>
  <c r="AI13" i="2"/>
  <c r="AN12" i="2"/>
  <c r="AM12" i="2"/>
  <c r="AL12" i="2"/>
  <c r="AK12" i="2"/>
  <c r="AJ12" i="2"/>
  <c r="AI12" i="2"/>
  <c r="AN11" i="2"/>
  <c r="AM11" i="2"/>
  <c r="AL11" i="2"/>
  <c r="AK11" i="2"/>
  <c r="AJ11" i="2"/>
  <c r="AI11" i="2"/>
  <c r="AN10" i="2"/>
  <c r="AM10" i="2"/>
  <c r="AL10" i="2"/>
  <c r="AK10" i="2"/>
  <c r="AJ10" i="2"/>
  <c r="AI10" i="2"/>
  <c r="AN9" i="2"/>
  <c r="AM9" i="2"/>
  <c r="AL9" i="2"/>
  <c r="AK9" i="2"/>
  <c r="AJ9" i="2"/>
  <c r="AI9" i="2"/>
  <c r="AN8" i="2"/>
  <c r="AM8" i="2"/>
  <c r="AL8" i="2"/>
  <c r="AK8" i="2"/>
  <c r="AJ8" i="2"/>
  <c r="AI8" i="2"/>
  <c r="AN7" i="2"/>
  <c r="AM7" i="2"/>
  <c r="AL7" i="2"/>
  <c r="AK7" i="2"/>
  <c r="AJ7" i="2"/>
  <c r="AI7" i="2"/>
  <c r="AN6" i="2"/>
  <c r="AM6" i="2"/>
  <c r="AL6" i="2"/>
  <c r="AK6" i="2"/>
  <c r="AJ6" i="2"/>
  <c r="AI6" i="2"/>
  <c r="AN5" i="2"/>
  <c r="AM5" i="2"/>
  <c r="AL5" i="2"/>
  <c r="AK5" i="2"/>
  <c r="AJ5" i="2"/>
  <c r="AI5" i="2"/>
  <c r="AN4" i="2"/>
  <c r="AM4" i="2"/>
  <c r="AL4" i="2"/>
  <c r="AK4" i="2"/>
  <c r="AJ4" i="2"/>
  <c r="AI4" i="2"/>
  <c r="AN3" i="2"/>
  <c r="AM3" i="2"/>
  <c r="AL3" i="2"/>
  <c r="AK3" i="2"/>
  <c r="AJ3" i="2"/>
  <c r="AI3" i="2"/>
  <c r="AN2" i="2"/>
  <c r="AM2" i="2"/>
  <c r="AL2" i="2"/>
  <c r="AK2" i="2"/>
  <c r="AJ2" i="2"/>
  <c r="AI2" i="2"/>
  <c r="AG323" i="2"/>
  <c r="T321" i="2"/>
  <c r="S321" i="2"/>
  <c r="R321" i="2"/>
  <c r="Q321" i="2"/>
  <c r="P321" i="2"/>
  <c r="O321" i="2"/>
  <c r="T320" i="2"/>
  <c r="S320" i="2"/>
  <c r="R320" i="2"/>
  <c r="Q320" i="2"/>
  <c r="P320" i="2"/>
  <c r="O320" i="2"/>
  <c r="T319" i="2"/>
  <c r="S319" i="2"/>
  <c r="R319" i="2"/>
  <c r="Q319" i="2"/>
  <c r="P319" i="2"/>
  <c r="O319" i="2"/>
  <c r="T318" i="2"/>
  <c r="S318" i="2"/>
  <c r="R318" i="2"/>
  <c r="Q318" i="2"/>
  <c r="P318" i="2"/>
  <c r="O318" i="2"/>
  <c r="T317" i="2"/>
  <c r="S317" i="2"/>
  <c r="R317" i="2"/>
  <c r="Q317" i="2"/>
  <c r="P317" i="2"/>
  <c r="O317" i="2"/>
  <c r="T316" i="2"/>
  <c r="S316" i="2"/>
  <c r="R316" i="2"/>
  <c r="Q316" i="2"/>
  <c r="P316" i="2"/>
  <c r="O316" i="2"/>
  <c r="T315" i="2"/>
  <c r="S315" i="2"/>
  <c r="R315" i="2"/>
  <c r="Q315" i="2"/>
  <c r="P315" i="2"/>
  <c r="O315" i="2"/>
  <c r="T314" i="2"/>
  <c r="S314" i="2"/>
  <c r="R314" i="2"/>
  <c r="Q314" i="2"/>
  <c r="P314" i="2"/>
  <c r="O314" i="2"/>
  <c r="T313" i="2"/>
  <c r="S313" i="2"/>
  <c r="R313" i="2"/>
  <c r="Q313" i="2"/>
  <c r="P313" i="2"/>
  <c r="O313" i="2"/>
  <c r="T312" i="2"/>
  <c r="S312" i="2"/>
  <c r="R312" i="2"/>
  <c r="Q312" i="2"/>
  <c r="P312" i="2"/>
  <c r="O312" i="2"/>
  <c r="T311" i="2"/>
  <c r="S311" i="2"/>
  <c r="R311" i="2"/>
  <c r="Q311" i="2"/>
  <c r="P311" i="2"/>
  <c r="O311" i="2"/>
  <c r="T310" i="2"/>
  <c r="S310" i="2"/>
  <c r="R310" i="2"/>
  <c r="Q310" i="2"/>
  <c r="P310" i="2"/>
  <c r="O310" i="2"/>
  <c r="T309" i="2"/>
  <c r="S309" i="2"/>
  <c r="R309" i="2"/>
  <c r="Q309" i="2"/>
  <c r="P309" i="2"/>
  <c r="O309" i="2"/>
  <c r="T308" i="2"/>
  <c r="S308" i="2"/>
  <c r="R308" i="2"/>
  <c r="Q308" i="2"/>
  <c r="P308" i="2"/>
  <c r="O308" i="2"/>
  <c r="T307" i="2"/>
  <c r="S307" i="2"/>
  <c r="R307" i="2"/>
  <c r="Q307" i="2"/>
  <c r="P307" i="2"/>
  <c r="O307" i="2"/>
  <c r="T306" i="2"/>
  <c r="S306" i="2"/>
  <c r="R306" i="2"/>
  <c r="Q306" i="2"/>
  <c r="P306" i="2"/>
  <c r="O306" i="2"/>
  <c r="T305" i="2"/>
  <c r="S305" i="2"/>
  <c r="R305" i="2"/>
  <c r="Q305" i="2"/>
  <c r="P305" i="2"/>
  <c r="O305" i="2"/>
  <c r="T304" i="2"/>
  <c r="S304" i="2"/>
  <c r="R304" i="2"/>
  <c r="Q304" i="2"/>
  <c r="P304" i="2"/>
  <c r="O304" i="2"/>
  <c r="T303" i="2"/>
  <c r="S303" i="2"/>
  <c r="R303" i="2"/>
  <c r="Q303" i="2"/>
  <c r="P303" i="2"/>
  <c r="O303" i="2"/>
  <c r="T302" i="2"/>
  <c r="S302" i="2"/>
  <c r="R302" i="2"/>
  <c r="Q302" i="2"/>
  <c r="P302" i="2"/>
  <c r="O302" i="2"/>
  <c r="T301" i="2"/>
  <c r="S301" i="2"/>
  <c r="R301" i="2"/>
  <c r="Q301" i="2"/>
  <c r="P301" i="2"/>
  <c r="O301" i="2"/>
  <c r="T300" i="2"/>
  <c r="S300" i="2"/>
  <c r="R300" i="2"/>
  <c r="Q300" i="2"/>
  <c r="P300" i="2"/>
  <c r="O300" i="2"/>
  <c r="T299" i="2"/>
  <c r="S299" i="2"/>
  <c r="R299" i="2"/>
  <c r="Q299" i="2"/>
  <c r="P299" i="2"/>
  <c r="O299" i="2"/>
  <c r="T298" i="2"/>
  <c r="S298" i="2"/>
  <c r="R298" i="2"/>
  <c r="Q298" i="2"/>
  <c r="P298" i="2"/>
  <c r="O298" i="2"/>
  <c r="T297" i="2"/>
  <c r="S297" i="2"/>
  <c r="R297" i="2"/>
  <c r="Q297" i="2"/>
  <c r="P297" i="2"/>
  <c r="O297" i="2"/>
  <c r="T296" i="2"/>
  <c r="S296" i="2"/>
  <c r="R296" i="2"/>
  <c r="Q296" i="2"/>
  <c r="P296" i="2"/>
  <c r="O296" i="2"/>
  <c r="T295" i="2"/>
  <c r="S295" i="2"/>
  <c r="R295" i="2"/>
  <c r="Q295" i="2"/>
  <c r="P295" i="2"/>
  <c r="O295" i="2"/>
  <c r="T294" i="2"/>
  <c r="S294" i="2"/>
  <c r="R294" i="2"/>
  <c r="Q294" i="2"/>
  <c r="P294" i="2"/>
  <c r="O294" i="2"/>
  <c r="T293" i="2"/>
  <c r="S293" i="2"/>
  <c r="R293" i="2"/>
  <c r="Q293" i="2"/>
  <c r="P293" i="2"/>
  <c r="O293" i="2"/>
  <c r="T292" i="2"/>
  <c r="S292" i="2"/>
  <c r="R292" i="2"/>
  <c r="Q292" i="2"/>
  <c r="P292" i="2"/>
  <c r="O292" i="2"/>
  <c r="T291" i="2"/>
  <c r="S291" i="2"/>
  <c r="R291" i="2"/>
  <c r="Q291" i="2"/>
  <c r="P291" i="2"/>
  <c r="O291" i="2"/>
  <c r="T290" i="2"/>
  <c r="S290" i="2"/>
  <c r="R290" i="2"/>
  <c r="Q290" i="2"/>
  <c r="P290" i="2"/>
  <c r="O290" i="2"/>
  <c r="T289" i="2"/>
  <c r="S289" i="2"/>
  <c r="R289" i="2"/>
  <c r="Q289" i="2"/>
  <c r="P289" i="2"/>
  <c r="O289" i="2"/>
  <c r="T288" i="2"/>
  <c r="S288" i="2"/>
  <c r="R288" i="2"/>
  <c r="Q288" i="2"/>
  <c r="P288" i="2"/>
  <c r="O288" i="2"/>
  <c r="T287" i="2"/>
  <c r="S287" i="2"/>
  <c r="R287" i="2"/>
  <c r="Q287" i="2"/>
  <c r="P287" i="2"/>
  <c r="O287" i="2"/>
  <c r="T286" i="2"/>
  <c r="S286" i="2"/>
  <c r="R286" i="2"/>
  <c r="Q286" i="2"/>
  <c r="P286" i="2"/>
  <c r="O286" i="2"/>
  <c r="T285" i="2"/>
  <c r="S285" i="2"/>
  <c r="R285" i="2"/>
  <c r="Q285" i="2"/>
  <c r="P285" i="2"/>
  <c r="O285" i="2"/>
  <c r="T284" i="2"/>
  <c r="S284" i="2"/>
  <c r="R284" i="2"/>
  <c r="Q284" i="2"/>
  <c r="P284" i="2"/>
  <c r="O284" i="2"/>
  <c r="T283" i="2"/>
  <c r="S283" i="2"/>
  <c r="R283" i="2"/>
  <c r="Q283" i="2"/>
  <c r="P283" i="2"/>
  <c r="O283" i="2"/>
  <c r="T282" i="2"/>
  <c r="S282" i="2"/>
  <c r="R282" i="2"/>
  <c r="Q282" i="2"/>
  <c r="P282" i="2"/>
  <c r="O282" i="2"/>
  <c r="T281" i="2"/>
  <c r="S281" i="2"/>
  <c r="R281" i="2"/>
  <c r="Q281" i="2"/>
  <c r="P281" i="2"/>
  <c r="O281" i="2"/>
  <c r="T280" i="2"/>
  <c r="S280" i="2"/>
  <c r="R280" i="2"/>
  <c r="Q280" i="2"/>
  <c r="P280" i="2"/>
  <c r="O280" i="2"/>
  <c r="T279" i="2"/>
  <c r="S279" i="2"/>
  <c r="R279" i="2"/>
  <c r="Q279" i="2"/>
  <c r="P279" i="2"/>
  <c r="O279" i="2"/>
  <c r="T278" i="2"/>
  <c r="S278" i="2"/>
  <c r="R278" i="2"/>
  <c r="Q278" i="2"/>
  <c r="P278" i="2"/>
  <c r="O278" i="2"/>
  <c r="T277" i="2"/>
  <c r="S277" i="2"/>
  <c r="R277" i="2"/>
  <c r="Q277" i="2"/>
  <c r="P277" i="2"/>
  <c r="O277" i="2"/>
  <c r="T276" i="2"/>
  <c r="S276" i="2"/>
  <c r="R276" i="2"/>
  <c r="Q276" i="2"/>
  <c r="P276" i="2"/>
  <c r="O276" i="2"/>
  <c r="T275" i="2"/>
  <c r="S275" i="2"/>
  <c r="R275" i="2"/>
  <c r="Q275" i="2"/>
  <c r="P275" i="2"/>
  <c r="O275" i="2"/>
  <c r="T274" i="2"/>
  <c r="S274" i="2"/>
  <c r="R274" i="2"/>
  <c r="Q274" i="2"/>
  <c r="P274" i="2"/>
  <c r="O274" i="2"/>
  <c r="T273" i="2"/>
  <c r="S273" i="2"/>
  <c r="R273" i="2"/>
  <c r="Q273" i="2"/>
  <c r="P273" i="2"/>
  <c r="O273" i="2"/>
  <c r="T272" i="2"/>
  <c r="S272" i="2"/>
  <c r="R272" i="2"/>
  <c r="Q272" i="2"/>
  <c r="P272" i="2"/>
  <c r="O272" i="2"/>
  <c r="T271" i="2"/>
  <c r="S271" i="2"/>
  <c r="R271" i="2"/>
  <c r="Q271" i="2"/>
  <c r="P271" i="2"/>
  <c r="O271" i="2"/>
  <c r="T270" i="2"/>
  <c r="S270" i="2"/>
  <c r="R270" i="2"/>
  <c r="Q270" i="2"/>
  <c r="P270" i="2"/>
  <c r="O270" i="2"/>
  <c r="T269" i="2"/>
  <c r="S269" i="2"/>
  <c r="R269" i="2"/>
  <c r="Q269" i="2"/>
  <c r="P269" i="2"/>
  <c r="O269" i="2"/>
  <c r="T268" i="2"/>
  <c r="S268" i="2"/>
  <c r="R268" i="2"/>
  <c r="Q268" i="2"/>
  <c r="P268" i="2"/>
  <c r="O268" i="2"/>
  <c r="T267" i="2"/>
  <c r="S267" i="2"/>
  <c r="R267" i="2"/>
  <c r="Q267" i="2"/>
  <c r="P267" i="2"/>
  <c r="O267" i="2"/>
  <c r="T266" i="2"/>
  <c r="S266" i="2"/>
  <c r="R266" i="2"/>
  <c r="Q266" i="2"/>
  <c r="P266" i="2"/>
  <c r="O266" i="2"/>
  <c r="T265" i="2"/>
  <c r="S265" i="2"/>
  <c r="R265" i="2"/>
  <c r="Q265" i="2"/>
  <c r="P265" i="2"/>
  <c r="O265" i="2"/>
  <c r="T264" i="2"/>
  <c r="S264" i="2"/>
  <c r="R264" i="2"/>
  <c r="Q264" i="2"/>
  <c r="P264" i="2"/>
  <c r="O264" i="2"/>
  <c r="T263" i="2"/>
  <c r="S263" i="2"/>
  <c r="R263" i="2"/>
  <c r="Q263" i="2"/>
  <c r="P263" i="2"/>
  <c r="O263" i="2"/>
  <c r="T262" i="2"/>
  <c r="S262" i="2"/>
  <c r="R262" i="2"/>
  <c r="Q262" i="2"/>
  <c r="P262" i="2"/>
  <c r="O262" i="2"/>
  <c r="T261" i="2"/>
  <c r="S261" i="2"/>
  <c r="R261" i="2"/>
  <c r="Q261" i="2"/>
  <c r="P261" i="2"/>
  <c r="O261" i="2"/>
  <c r="T260" i="2"/>
  <c r="S260" i="2"/>
  <c r="R260" i="2"/>
  <c r="Q260" i="2"/>
  <c r="P260" i="2"/>
  <c r="O260" i="2"/>
  <c r="T259" i="2"/>
  <c r="S259" i="2"/>
  <c r="R259" i="2"/>
  <c r="Q259" i="2"/>
  <c r="P259" i="2"/>
  <c r="O259" i="2"/>
  <c r="T258" i="2"/>
  <c r="S258" i="2"/>
  <c r="R258" i="2"/>
  <c r="Q258" i="2"/>
  <c r="P258" i="2"/>
  <c r="O258" i="2"/>
  <c r="T257" i="2"/>
  <c r="S257" i="2"/>
  <c r="R257" i="2"/>
  <c r="Q257" i="2"/>
  <c r="P257" i="2"/>
  <c r="O257" i="2"/>
  <c r="T256" i="2"/>
  <c r="S256" i="2"/>
  <c r="R256" i="2"/>
  <c r="Q256" i="2"/>
  <c r="P256" i="2"/>
  <c r="O256" i="2"/>
  <c r="T255" i="2"/>
  <c r="S255" i="2"/>
  <c r="R255" i="2"/>
  <c r="Q255" i="2"/>
  <c r="P255" i="2"/>
  <c r="O255" i="2"/>
  <c r="T254" i="2"/>
  <c r="S254" i="2"/>
  <c r="R254" i="2"/>
  <c r="Q254" i="2"/>
  <c r="P254" i="2"/>
  <c r="O254" i="2"/>
  <c r="T253" i="2"/>
  <c r="S253" i="2"/>
  <c r="R253" i="2"/>
  <c r="Q253" i="2"/>
  <c r="P253" i="2"/>
  <c r="O253" i="2"/>
  <c r="T252" i="2"/>
  <c r="S252" i="2"/>
  <c r="R252" i="2"/>
  <c r="Q252" i="2"/>
  <c r="P252" i="2"/>
  <c r="O252" i="2"/>
  <c r="T251" i="2"/>
  <c r="S251" i="2"/>
  <c r="R251" i="2"/>
  <c r="Q251" i="2"/>
  <c r="P251" i="2"/>
  <c r="O251" i="2"/>
  <c r="T250" i="2"/>
  <c r="S250" i="2"/>
  <c r="R250" i="2"/>
  <c r="Q250" i="2"/>
  <c r="P250" i="2"/>
  <c r="O250" i="2"/>
  <c r="T249" i="2"/>
  <c r="S249" i="2"/>
  <c r="R249" i="2"/>
  <c r="Q249" i="2"/>
  <c r="P249" i="2"/>
  <c r="O249" i="2"/>
  <c r="T248" i="2"/>
  <c r="S248" i="2"/>
  <c r="R248" i="2"/>
  <c r="Q248" i="2"/>
  <c r="P248" i="2"/>
  <c r="O248" i="2"/>
  <c r="T247" i="2"/>
  <c r="S247" i="2"/>
  <c r="R247" i="2"/>
  <c r="Q247" i="2"/>
  <c r="P247" i="2"/>
  <c r="O247" i="2"/>
  <c r="T246" i="2"/>
  <c r="S246" i="2"/>
  <c r="R246" i="2"/>
  <c r="Q246" i="2"/>
  <c r="P246" i="2"/>
  <c r="O246" i="2"/>
  <c r="T245" i="2"/>
  <c r="S245" i="2"/>
  <c r="R245" i="2"/>
  <c r="Q245" i="2"/>
  <c r="P245" i="2"/>
  <c r="O245" i="2"/>
  <c r="T244" i="2"/>
  <c r="S244" i="2"/>
  <c r="R244" i="2"/>
  <c r="Q244" i="2"/>
  <c r="P244" i="2"/>
  <c r="O244" i="2"/>
  <c r="T243" i="2"/>
  <c r="S243" i="2"/>
  <c r="R243" i="2"/>
  <c r="Q243" i="2"/>
  <c r="P243" i="2"/>
  <c r="O243" i="2"/>
  <c r="T242" i="2"/>
  <c r="S242" i="2"/>
  <c r="R242" i="2"/>
  <c r="Q242" i="2"/>
  <c r="P242" i="2"/>
  <c r="O242" i="2"/>
  <c r="T241" i="2"/>
  <c r="S241" i="2"/>
  <c r="R241" i="2"/>
  <c r="Q241" i="2"/>
  <c r="P241" i="2"/>
  <c r="O241" i="2"/>
  <c r="T240" i="2"/>
  <c r="S240" i="2"/>
  <c r="R240" i="2"/>
  <c r="Q240" i="2"/>
  <c r="P240" i="2"/>
  <c r="O240" i="2"/>
  <c r="T239" i="2"/>
  <c r="S239" i="2"/>
  <c r="R239" i="2"/>
  <c r="Q239" i="2"/>
  <c r="P239" i="2"/>
  <c r="O239" i="2"/>
  <c r="T238" i="2"/>
  <c r="S238" i="2"/>
  <c r="R238" i="2"/>
  <c r="Q238" i="2"/>
  <c r="P238" i="2"/>
  <c r="O238" i="2"/>
  <c r="T237" i="2"/>
  <c r="S237" i="2"/>
  <c r="R237" i="2"/>
  <c r="Q237" i="2"/>
  <c r="P237" i="2"/>
  <c r="O237" i="2"/>
  <c r="T236" i="2"/>
  <c r="S236" i="2"/>
  <c r="R236" i="2"/>
  <c r="Q236" i="2"/>
  <c r="P236" i="2"/>
  <c r="O236" i="2"/>
  <c r="T235" i="2"/>
  <c r="S235" i="2"/>
  <c r="R235" i="2"/>
  <c r="Q235" i="2"/>
  <c r="P235" i="2"/>
  <c r="O235" i="2"/>
  <c r="T234" i="2"/>
  <c r="S234" i="2"/>
  <c r="R234" i="2"/>
  <c r="Q234" i="2"/>
  <c r="P234" i="2"/>
  <c r="O234" i="2"/>
  <c r="T233" i="2"/>
  <c r="S233" i="2"/>
  <c r="R233" i="2"/>
  <c r="Q233" i="2"/>
  <c r="P233" i="2"/>
  <c r="O233" i="2"/>
  <c r="T232" i="2"/>
  <c r="S232" i="2"/>
  <c r="R232" i="2"/>
  <c r="Q232" i="2"/>
  <c r="P232" i="2"/>
  <c r="O232" i="2"/>
  <c r="T231" i="2"/>
  <c r="S231" i="2"/>
  <c r="R231" i="2"/>
  <c r="Q231" i="2"/>
  <c r="P231" i="2"/>
  <c r="O231" i="2"/>
  <c r="T230" i="2"/>
  <c r="S230" i="2"/>
  <c r="R230" i="2"/>
  <c r="Q230" i="2"/>
  <c r="P230" i="2"/>
  <c r="O230" i="2"/>
  <c r="T229" i="2"/>
  <c r="S229" i="2"/>
  <c r="R229" i="2"/>
  <c r="Q229" i="2"/>
  <c r="P229" i="2"/>
  <c r="O229" i="2"/>
  <c r="T228" i="2"/>
  <c r="S228" i="2"/>
  <c r="R228" i="2"/>
  <c r="Q228" i="2"/>
  <c r="P228" i="2"/>
  <c r="O228" i="2"/>
  <c r="T227" i="2"/>
  <c r="S227" i="2"/>
  <c r="R227" i="2"/>
  <c r="Q227" i="2"/>
  <c r="P227" i="2"/>
  <c r="O227" i="2"/>
  <c r="T226" i="2"/>
  <c r="S226" i="2"/>
  <c r="R226" i="2"/>
  <c r="Q226" i="2"/>
  <c r="P226" i="2"/>
  <c r="O226" i="2"/>
  <c r="T225" i="2"/>
  <c r="S225" i="2"/>
  <c r="R225" i="2"/>
  <c r="Q225" i="2"/>
  <c r="P225" i="2"/>
  <c r="O225" i="2"/>
  <c r="T224" i="2"/>
  <c r="S224" i="2"/>
  <c r="R224" i="2"/>
  <c r="Q224" i="2"/>
  <c r="P224" i="2"/>
  <c r="O224" i="2"/>
  <c r="T223" i="2"/>
  <c r="S223" i="2"/>
  <c r="R223" i="2"/>
  <c r="Q223" i="2"/>
  <c r="P223" i="2"/>
  <c r="O223" i="2"/>
  <c r="T222" i="2"/>
  <c r="S222" i="2"/>
  <c r="R222" i="2"/>
  <c r="Q222" i="2"/>
  <c r="P222" i="2"/>
  <c r="O222" i="2"/>
  <c r="T221" i="2"/>
  <c r="S221" i="2"/>
  <c r="R221" i="2"/>
  <c r="Q221" i="2"/>
  <c r="P221" i="2"/>
  <c r="O221" i="2"/>
  <c r="T220" i="2"/>
  <c r="S220" i="2"/>
  <c r="R220" i="2"/>
  <c r="Q220" i="2"/>
  <c r="P220" i="2"/>
  <c r="O220" i="2"/>
  <c r="T219" i="2"/>
  <c r="S219" i="2"/>
  <c r="R219" i="2"/>
  <c r="Q219" i="2"/>
  <c r="P219" i="2"/>
  <c r="O219" i="2"/>
  <c r="T218" i="2"/>
  <c r="S218" i="2"/>
  <c r="R218" i="2"/>
  <c r="Q218" i="2"/>
  <c r="P218" i="2"/>
  <c r="O218" i="2"/>
  <c r="T217" i="2"/>
  <c r="S217" i="2"/>
  <c r="R217" i="2"/>
  <c r="Q217" i="2"/>
  <c r="P217" i="2"/>
  <c r="O217" i="2"/>
  <c r="T216" i="2"/>
  <c r="S216" i="2"/>
  <c r="R216" i="2"/>
  <c r="Q216" i="2"/>
  <c r="P216" i="2"/>
  <c r="O216" i="2"/>
  <c r="T215" i="2"/>
  <c r="S215" i="2"/>
  <c r="R215" i="2"/>
  <c r="Q215" i="2"/>
  <c r="P215" i="2"/>
  <c r="O215" i="2"/>
  <c r="T214" i="2"/>
  <c r="S214" i="2"/>
  <c r="R214" i="2"/>
  <c r="Q214" i="2"/>
  <c r="P214" i="2"/>
  <c r="O214" i="2"/>
  <c r="T213" i="2"/>
  <c r="S213" i="2"/>
  <c r="R213" i="2"/>
  <c r="Q213" i="2"/>
  <c r="P213" i="2"/>
  <c r="O213" i="2"/>
  <c r="T212" i="2"/>
  <c r="S212" i="2"/>
  <c r="R212" i="2"/>
  <c r="Q212" i="2"/>
  <c r="P212" i="2"/>
  <c r="O212" i="2"/>
  <c r="T211" i="2"/>
  <c r="S211" i="2"/>
  <c r="R211" i="2"/>
  <c r="Q211" i="2"/>
  <c r="P211" i="2"/>
  <c r="O211" i="2"/>
  <c r="T210" i="2"/>
  <c r="S210" i="2"/>
  <c r="R210" i="2"/>
  <c r="Q210" i="2"/>
  <c r="P210" i="2"/>
  <c r="O210" i="2"/>
  <c r="T209" i="2"/>
  <c r="S209" i="2"/>
  <c r="R209" i="2"/>
  <c r="Q209" i="2"/>
  <c r="P209" i="2"/>
  <c r="O209" i="2"/>
  <c r="T208" i="2"/>
  <c r="S208" i="2"/>
  <c r="R208" i="2"/>
  <c r="Q208" i="2"/>
  <c r="P208" i="2"/>
  <c r="O208" i="2"/>
  <c r="T207" i="2"/>
  <c r="S207" i="2"/>
  <c r="R207" i="2"/>
  <c r="Q207" i="2"/>
  <c r="P207" i="2"/>
  <c r="O207" i="2"/>
  <c r="T206" i="2"/>
  <c r="S206" i="2"/>
  <c r="R206" i="2"/>
  <c r="Q206" i="2"/>
  <c r="P206" i="2"/>
  <c r="O206" i="2"/>
  <c r="T205" i="2"/>
  <c r="S205" i="2"/>
  <c r="R205" i="2"/>
  <c r="Q205" i="2"/>
  <c r="P205" i="2"/>
  <c r="O205" i="2"/>
  <c r="T204" i="2"/>
  <c r="S204" i="2"/>
  <c r="R204" i="2"/>
  <c r="Q204" i="2"/>
  <c r="P204" i="2"/>
  <c r="O204" i="2"/>
  <c r="T203" i="2"/>
  <c r="S203" i="2"/>
  <c r="R203" i="2"/>
  <c r="Q203" i="2"/>
  <c r="P203" i="2"/>
  <c r="O203" i="2"/>
  <c r="T202" i="2"/>
  <c r="S202" i="2"/>
  <c r="R202" i="2"/>
  <c r="Q202" i="2"/>
  <c r="P202" i="2"/>
  <c r="O202" i="2"/>
  <c r="T201" i="2"/>
  <c r="S201" i="2"/>
  <c r="R201" i="2"/>
  <c r="Q201" i="2"/>
  <c r="P201" i="2"/>
  <c r="O201" i="2"/>
  <c r="T200" i="2"/>
  <c r="S200" i="2"/>
  <c r="R200" i="2"/>
  <c r="Q200" i="2"/>
  <c r="P200" i="2"/>
  <c r="O200" i="2"/>
  <c r="T199" i="2"/>
  <c r="S199" i="2"/>
  <c r="R199" i="2"/>
  <c r="Q199" i="2"/>
  <c r="P199" i="2"/>
  <c r="O199" i="2"/>
  <c r="T198" i="2"/>
  <c r="S198" i="2"/>
  <c r="R198" i="2"/>
  <c r="Q198" i="2"/>
  <c r="P198" i="2"/>
  <c r="O198" i="2"/>
  <c r="T197" i="2"/>
  <c r="S197" i="2"/>
  <c r="R197" i="2"/>
  <c r="Q197" i="2"/>
  <c r="P197" i="2"/>
  <c r="O197" i="2"/>
  <c r="T196" i="2"/>
  <c r="S196" i="2"/>
  <c r="R196" i="2"/>
  <c r="Q196" i="2"/>
  <c r="P196" i="2"/>
  <c r="O196" i="2"/>
  <c r="T195" i="2"/>
  <c r="S195" i="2"/>
  <c r="R195" i="2"/>
  <c r="Q195" i="2"/>
  <c r="P195" i="2"/>
  <c r="O195" i="2"/>
  <c r="T194" i="2"/>
  <c r="S194" i="2"/>
  <c r="R194" i="2"/>
  <c r="Q194" i="2"/>
  <c r="P194" i="2"/>
  <c r="O194" i="2"/>
  <c r="T193" i="2"/>
  <c r="S193" i="2"/>
  <c r="R193" i="2"/>
  <c r="Q193" i="2"/>
  <c r="P193" i="2"/>
  <c r="O193" i="2"/>
  <c r="T192" i="2"/>
  <c r="S192" i="2"/>
  <c r="R192" i="2"/>
  <c r="Q192" i="2"/>
  <c r="P192" i="2"/>
  <c r="O192" i="2"/>
  <c r="T191" i="2"/>
  <c r="S191" i="2"/>
  <c r="R191" i="2"/>
  <c r="Q191" i="2"/>
  <c r="P191" i="2"/>
  <c r="O191" i="2"/>
  <c r="T190" i="2"/>
  <c r="S190" i="2"/>
  <c r="R190" i="2"/>
  <c r="Q190" i="2"/>
  <c r="P190" i="2"/>
  <c r="O190" i="2"/>
  <c r="T189" i="2"/>
  <c r="S189" i="2"/>
  <c r="R189" i="2"/>
  <c r="Q189" i="2"/>
  <c r="P189" i="2"/>
  <c r="O189" i="2"/>
  <c r="T188" i="2"/>
  <c r="S188" i="2"/>
  <c r="R188" i="2"/>
  <c r="Q188" i="2"/>
  <c r="P188" i="2"/>
  <c r="O188" i="2"/>
  <c r="T187" i="2"/>
  <c r="S187" i="2"/>
  <c r="R187" i="2"/>
  <c r="Q187" i="2"/>
  <c r="P187" i="2"/>
  <c r="O187" i="2"/>
  <c r="T186" i="2"/>
  <c r="S186" i="2"/>
  <c r="R186" i="2"/>
  <c r="Q186" i="2"/>
  <c r="P186" i="2"/>
  <c r="O186" i="2"/>
  <c r="T185" i="2"/>
  <c r="S185" i="2"/>
  <c r="R185" i="2"/>
  <c r="Q185" i="2"/>
  <c r="P185" i="2"/>
  <c r="O185" i="2"/>
  <c r="T184" i="2"/>
  <c r="S184" i="2"/>
  <c r="R184" i="2"/>
  <c r="Q184" i="2"/>
  <c r="P184" i="2"/>
  <c r="O184" i="2"/>
  <c r="T183" i="2"/>
  <c r="S183" i="2"/>
  <c r="R183" i="2"/>
  <c r="Q183" i="2"/>
  <c r="P183" i="2"/>
  <c r="O183" i="2"/>
  <c r="T182" i="2"/>
  <c r="S182" i="2"/>
  <c r="R182" i="2"/>
  <c r="Q182" i="2"/>
  <c r="P182" i="2"/>
  <c r="O182" i="2"/>
  <c r="T181" i="2"/>
  <c r="S181" i="2"/>
  <c r="R181" i="2"/>
  <c r="Q181" i="2"/>
  <c r="P181" i="2"/>
  <c r="O181" i="2"/>
  <c r="T180" i="2"/>
  <c r="S180" i="2"/>
  <c r="R180" i="2"/>
  <c r="Q180" i="2"/>
  <c r="P180" i="2"/>
  <c r="O180" i="2"/>
  <c r="T179" i="2"/>
  <c r="S179" i="2"/>
  <c r="R179" i="2"/>
  <c r="Q179" i="2"/>
  <c r="P179" i="2"/>
  <c r="O179" i="2"/>
  <c r="T178" i="2"/>
  <c r="S178" i="2"/>
  <c r="R178" i="2"/>
  <c r="Q178" i="2"/>
  <c r="P178" i="2"/>
  <c r="O178" i="2"/>
  <c r="T177" i="2"/>
  <c r="S177" i="2"/>
  <c r="R177" i="2"/>
  <c r="Q177" i="2"/>
  <c r="P177" i="2"/>
  <c r="O177" i="2"/>
  <c r="T176" i="2"/>
  <c r="S176" i="2"/>
  <c r="R176" i="2"/>
  <c r="Q176" i="2"/>
  <c r="P176" i="2"/>
  <c r="O176" i="2"/>
  <c r="T175" i="2"/>
  <c r="S175" i="2"/>
  <c r="R175" i="2"/>
  <c r="Q175" i="2"/>
  <c r="P175" i="2"/>
  <c r="O175" i="2"/>
  <c r="T174" i="2"/>
  <c r="S174" i="2"/>
  <c r="R174" i="2"/>
  <c r="Q174" i="2"/>
  <c r="P174" i="2"/>
  <c r="O174" i="2"/>
  <c r="T173" i="2"/>
  <c r="S173" i="2"/>
  <c r="R173" i="2"/>
  <c r="Q173" i="2"/>
  <c r="P173" i="2"/>
  <c r="O173" i="2"/>
  <c r="T172" i="2"/>
  <c r="S172" i="2"/>
  <c r="R172" i="2"/>
  <c r="Q172" i="2"/>
  <c r="P172" i="2"/>
  <c r="O172" i="2"/>
  <c r="T171" i="2"/>
  <c r="S171" i="2"/>
  <c r="R171" i="2"/>
  <c r="Q171" i="2"/>
  <c r="P171" i="2"/>
  <c r="O171" i="2"/>
  <c r="T170" i="2"/>
  <c r="S170" i="2"/>
  <c r="R170" i="2"/>
  <c r="Q170" i="2"/>
  <c r="P170" i="2"/>
  <c r="O170" i="2"/>
  <c r="T169" i="2"/>
  <c r="S169" i="2"/>
  <c r="R169" i="2"/>
  <c r="Q169" i="2"/>
  <c r="P169" i="2"/>
  <c r="O169" i="2"/>
  <c r="T168" i="2"/>
  <c r="S168" i="2"/>
  <c r="R168" i="2"/>
  <c r="Q168" i="2"/>
  <c r="P168" i="2"/>
  <c r="O168" i="2"/>
  <c r="T167" i="2"/>
  <c r="S167" i="2"/>
  <c r="R167" i="2"/>
  <c r="Q167" i="2"/>
  <c r="P167" i="2"/>
  <c r="O167" i="2"/>
  <c r="T166" i="2"/>
  <c r="S166" i="2"/>
  <c r="R166" i="2"/>
  <c r="Q166" i="2"/>
  <c r="P166" i="2"/>
  <c r="O166" i="2"/>
  <c r="T165" i="2"/>
  <c r="S165" i="2"/>
  <c r="R165" i="2"/>
  <c r="Q165" i="2"/>
  <c r="P165" i="2"/>
  <c r="O165" i="2"/>
  <c r="T164" i="2"/>
  <c r="S164" i="2"/>
  <c r="R164" i="2"/>
  <c r="Q164" i="2"/>
  <c r="P164" i="2"/>
  <c r="O164" i="2"/>
  <c r="T163" i="2"/>
  <c r="S163" i="2"/>
  <c r="R163" i="2"/>
  <c r="Q163" i="2"/>
  <c r="P163" i="2"/>
  <c r="O163" i="2"/>
  <c r="T162" i="2"/>
  <c r="S162" i="2"/>
  <c r="R162" i="2"/>
  <c r="Q162" i="2"/>
  <c r="P162" i="2"/>
  <c r="O162" i="2"/>
  <c r="T161" i="2"/>
  <c r="S161" i="2"/>
  <c r="R161" i="2"/>
  <c r="Q161" i="2"/>
  <c r="P161" i="2"/>
  <c r="O161" i="2"/>
  <c r="T160" i="2"/>
  <c r="S160" i="2"/>
  <c r="R160" i="2"/>
  <c r="Q160" i="2"/>
  <c r="P160" i="2"/>
  <c r="O160" i="2"/>
  <c r="T159" i="2"/>
  <c r="S159" i="2"/>
  <c r="R159" i="2"/>
  <c r="Q159" i="2"/>
  <c r="P159" i="2"/>
  <c r="O159" i="2"/>
  <c r="T158" i="2"/>
  <c r="S158" i="2"/>
  <c r="R158" i="2"/>
  <c r="Q158" i="2"/>
  <c r="P158" i="2"/>
  <c r="O158" i="2"/>
  <c r="T157" i="2"/>
  <c r="S157" i="2"/>
  <c r="R157" i="2"/>
  <c r="Q157" i="2"/>
  <c r="P157" i="2"/>
  <c r="O157" i="2"/>
  <c r="T156" i="2"/>
  <c r="S156" i="2"/>
  <c r="R156" i="2"/>
  <c r="Q156" i="2"/>
  <c r="P156" i="2"/>
  <c r="O156" i="2"/>
  <c r="T155" i="2"/>
  <c r="S155" i="2"/>
  <c r="R155" i="2"/>
  <c r="Q155" i="2"/>
  <c r="P155" i="2"/>
  <c r="O155" i="2"/>
  <c r="T154" i="2"/>
  <c r="S154" i="2"/>
  <c r="R154" i="2"/>
  <c r="Q154" i="2"/>
  <c r="P154" i="2"/>
  <c r="O154" i="2"/>
  <c r="T153" i="2"/>
  <c r="S153" i="2"/>
  <c r="R153" i="2"/>
  <c r="Q153" i="2"/>
  <c r="P153" i="2"/>
  <c r="O153" i="2"/>
  <c r="T152" i="2"/>
  <c r="S152" i="2"/>
  <c r="R152" i="2"/>
  <c r="Q152" i="2"/>
  <c r="P152" i="2"/>
  <c r="O152" i="2"/>
  <c r="T151" i="2"/>
  <c r="S151" i="2"/>
  <c r="R151" i="2"/>
  <c r="Q151" i="2"/>
  <c r="P151" i="2"/>
  <c r="O151" i="2"/>
  <c r="T150" i="2"/>
  <c r="S150" i="2"/>
  <c r="R150" i="2"/>
  <c r="Q150" i="2"/>
  <c r="P150" i="2"/>
  <c r="O150" i="2"/>
  <c r="T149" i="2"/>
  <c r="S149" i="2"/>
  <c r="R149" i="2"/>
  <c r="Q149" i="2"/>
  <c r="P149" i="2"/>
  <c r="O149" i="2"/>
  <c r="T148" i="2"/>
  <c r="S148" i="2"/>
  <c r="R148" i="2"/>
  <c r="Q148" i="2"/>
  <c r="P148" i="2"/>
  <c r="O148" i="2"/>
  <c r="T147" i="2"/>
  <c r="S147" i="2"/>
  <c r="R147" i="2"/>
  <c r="Q147" i="2"/>
  <c r="P147" i="2"/>
  <c r="O147" i="2"/>
  <c r="T146" i="2"/>
  <c r="S146" i="2"/>
  <c r="R146" i="2"/>
  <c r="Q146" i="2"/>
  <c r="P146" i="2"/>
  <c r="O146" i="2"/>
  <c r="T145" i="2"/>
  <c r="S145" i="2"/>
  <c r="R145" i="2"/>
  <c r="Q145" i="2"/>
  <c r="P145" i="2"/>
  <c r="O145" i="2"/>
  <c r="T144" i="2"/>
  <c r="S144" i="2"/>
  <c r="R144" i="2"/>
  <c r="Q144" i="2"/>
  <c r="P144" i="2"/>
  <c r="O144" i="2"/>
  <c r="T143" i="2"/>
  <c r="S143" i="2"/>
  <c r="R143" i="2"/>
  <c r="Q143" i="2"/>
  <c r="P143" i="2"/>
  <c r="O143" i="2"/>
  <c r="T142" i="2"/>
  <c r="S142" i="2"/>
  <c r="R142" i="2"/>
  <c r="Q142" i="2"/>
  <c r="P142" i="2"/>
  <c r="O142" i="2"/>
  <c r="T141" i="2"/>
  <c r="S141" i="2"/>
  <c r="R141" i="2"/>
  <c r="Q141" i="2"/>
  <c r="P141" i="2"/>
  <c r="O141" i="2"/>
  <c r="T140" i="2"/>
  <c r="S140" i="2"/>
  <c r="R140" i="2"/>
  <c r="Q140" i="2"/>
  <c r="P140" i="2"/>
  <c r="O140" i="2"/>
  <c r="T139" i="2"/>
  <c r="S139" i="2"/>
  <c r="R139" i="2"/>
  <c r="Q139" i="2"/>
  <c r="P139" i="2"/>
  <c r="O139" i="2"/>
  <c r="T138" i="2"/>
  <c r="S138" i="2"/>
  <c r="R138" i="2"/>
  <c r="Q138" i="2"/>
  <c r="P138" i="2"/>
  <c r="O138" i="2"/>
  <c r="T137" i="2"/>
  <c r="S137" i="2"/>
  <c r="R137" i="2"/>
  <c r="Q137" i="2"/>
  <c r="P137" i="2"/>
  <c r="O137" i="2"/>
  <c r="T136" i="2"/>
  <c r="S136" i="2"/>
  <c r="R136" i="2"/>
  <c r="Q136" i="2"/>
  <c r="P136" i="2"/>
  <c r="O136" i="2"/>
  <c r="T135" i="2"/>
  <c r="S135" i="2"/>
  <c r="R135" i="2"/>
  <c r="Q135" i="2"/>
  <c r="P135" i="2"/>
  <c r="O135" i="2"/>
  <c r="T134" i="2"/>
  <c r="S134" i="2"/>
  <c r="R134" i="2"/>
  <c r="Q134" i="2"/>
  <c r="P134" i="2"/>
  <c r="O134" i="2"/>
  <c r="T133" i="2"/>
  <c r="S133" i="2"/>
  <c r="R133" i="2"/>
  <c r="Q133" i="2"/>
  <c r="P133" i="2"/>
  <c r="O133" i="2"/>
  <c r="T132" i="2"/>
  <c r="S132" i="2"/>
  <c r="R132" i="2"/>
  <c r="Q132" i="2"/>
  <c r="P132" i="2"/>
  <c r="O132" i="2"/>
  <c r="T131" i="2"/>
  <c r="S131" i="2"/>
  <c r="R131" i="2"/>
  <c r="Q131" i="2"/>
  <c r="P131" i="2"/>
  <c r="O131" i="2"/>
  <c r="T130" i="2"/>
  <c r="S130" i="2"/>
  <c r="R130" i="2"/>
  <c r="Q130" i="2"/>
  <c r="P130" i="2"/>
  <c r="O130" i="2"/>
  <c r="T129" i="2"/>
  <c r="S129" i="2"/>
  <c r="R129" i="2"/>
  <c r="Q129" i="2"/>
  <c r="P129" i="2"/>
  <c r="O129" i="2"/>
  <c r="T128" i="2"/>
  <c r="S128" i="2"/>
  <c r="R128" i="2"/>
  <c r="Q128" i="2"/>
  <c r="P128" i="2"/>
  <c r="O128" i="2"/>
  <c r="T127" i="2"/>
  <c r="S127" i="2"/>
  <c r="R127" i="2"/>
  <c r="Q127" i="2"/>
  <c r="P127" i="2"/>
  <c r="O127" i="2"/>
  <c r="T126" i="2"/>
  <c r="S126" i="2"/>
  <c r="R126" i="2"/>
  <c r="Q126" i="2"/>
  <c r="P126" i="2"/>
  <c r="O126" i="2"/>
  <c r="T125" i="2"/>
  <c r="S125" i="2"/>
  <c r="R125" i="2"/>
  <c r="Q125" i="2"/>
  <c r="P125" i="2"/>
  <c r="O125" i="2"/>
  <c r="T124" i="2"/>
  <c r="S124" i="2"/>
  <c r="R124" i="2"/>
  <c r="Q124" i="2"/>
  <c r="P124" i="2"/>
  <c r="O124" i="2"/>
  <c r="T123" i="2"/>
  <c r="S123" i="2"/>
  <c r="R123" i="2"/>
  <c r="Q123" i="2"/>
  <c r="P123" i="2"/>
  <c r="O123" i="2"/>
  <c r="T122" i="2"/>
  <c r="S122" i="2"/>
  <c r="R122" i="2"/>
  <c r="Q122" i="2"/>
  <c r="P122" i="2"/>
  <c r="O122" i="2"/>
  <c r="T121" i="2"/>
  <c r="S121" i="2"/>
  <c r="R121" i="2"/>
  <c r="Q121" i="2"/>
  <c r="P121" i="2"/>
  <c r="O121" i="2"/>
  <c r="T120" i="2"/>
  <c r="S120" i="2"/>
  <c r="R120" i="2"/>
  <c r="Q120" i="2"/>
  <c r="P120" i="2"/>
  <c r="O120" i="2"/>
  <c r="T119" i="2"/>
  <c r="S119" i="2"/>
  <c r="R119" i="2"/>
  <c r="Q119" i="2"/>
  <c r="P119" i="2"/>
  <c r="O119" i="2"/>
  <c r="T118" i="2"/>
  <c r="S118" i="2"/>
  <c r="R118" i="2"/>
  <c r="Q118" i="2"/>
  <c r="P118" i="2"/>
  <c r="O118" i="2"/>
  <c r="T117" i="2"/>
  <c r="S117" i="2"/>
  <c r="R117" i="2"/>
  <c r="Q117" i="2"/>
  <c r="P117" i="2"/>
  <c r="O117" i="2"/>
  <c r="T116" i="2"/>
  <c r="S116" i="2"/>
  <c r="R116" i="2"/>
  <c r="Q116" i="2"/>
  <c r="P116" i="2"/>
  <c r="O116" i="2"/>
  <c r="T115" i="2"/>
  <c r="S115" i="2"/>
  <c r="R115" i="2"/>
  <c r="Q115" i="2"/>
  <c r="P115" i="2"/>
  <c r="O115" i="2"/>
  <c r="T114" i="2"/>
  <c r="S114" i="2"/>
  <c r="R114" i="2"/>
  <c r="Q114" i="2"/>
  <c r="P114" i="2"/>
  <c r="O114" i="2"/>
  <c r="T113" i="2"/>
  <c r="S113" i="2"/>
  <c r="R113" i="2"/>
  <c r="Q113" i="2"/>
  <c r="P113" i="2"/>
  <c r="O113" i="2"/>
  <c r="T112" i="2"/>
  <c r="S112" i="2"/>
  <c r="R112" i="2"/>
  <c r="Q112" i="2"/>
  <c r="P112" i="2"/>
  <c r="O112" i="2"/>
  <c r="T111" i="2"/>
  <c r="S111" i="2"/>
  <c r="R111" i="2"/>
  <c r="Q111" i="2"/>
  <c r="P111" i="2"/>
  <c r="O111" i="2"/>
  <c r="T110" i="2"/>
  <c r="S110" i="2"/>
  <c r="R110" i="2"/>
  <c r="Q110" i="2"/>
  <c r="P110" i="2"/>
  <c r="O110" i="2"/>
  <c r="T109" i="2"/>
  <c r="S109" i="2"/>
  <c r="R109" i="2"/>
  <c r="Q109" i="2"/>
  <c r="P109" i="2"/>
  <c r="O109" i="2"/>
  <c r="T108" i="2"/>
  <c r="S108" i="2"/>
  <c r="R108" i="2"/>
  <c r="Q108" i="2"/>
  <c r="P108" i="2"/>
  <c r="O108" i="2"/>
  <c r="T107" i="2"/>
  <c r="S107" i="2"/>
  <c r="R107" i="2"/>
  <c r="Q107" i="2"/>
  <c r="P107" i="2"/>
  <c r="O107" i="2"/>
  <c r="T106" i="2"/>
  <c r="S106" i="2"/>
  <c r="R106" i="2"/>
  <c r="Q106" i="2"/>
  <c r="P106" i="2"/>
  <c r="O106" i="2"/>
  <c r="T105" i="2"/>
  <c r="S105" i="2"/>
  <c r="R105" i="2"/>
  <c r="Q105" i="2"/>
  <c r="P105" i="2"/>
  <c r="O105" i="2"/>
  <c r="T104" i="2"/>
  <c r="S104" i="2"/>
  <c r="R104" i="2"/>
  <c r="Q104" i="2"/>
  <c r="P104" i="2"/>
  <c r="O104" i="2"/>
  <c r="T103" i="2"/>
  <c r="S103" i="2"/>
  <c r="R103" i="2"/>
  <c r="Q103" i="2"/>
  <c r="P103" i="2"/>
  <c r="O103" i="2"/>
  <c r="T102" i="2"/>
  <c r="S102" i="2"/>
  <c r="R102" i="2"/>
  <c r="Q102" i="2"/>
  <c r="P102" i="2"/>
  <c r="O102" i="2"/>
  <c r="T101" i="2"/>
  <c r="S101" i="2"/>
  <c r="R101" i="2"/>
  <c r="Q101" i="2"/>
  <c r="P101" i="2"/>
  <c r="O101" i="2"/>
  <c r="T100" i="2"/>
  <c r="S100" i="2"/>
  <c r="R100" i="2"/>
  <c r="Q100" i="2"/>
  <c r="P100" i="2"/>
  <c r="O100" i="2"/>
  <c r="T99" i="2"/>
  <c r="S99" i="2"/>
  <c r="R99" i="2"/>
  <c r="Q99" i="2"/>
  <c r="P99" i="2"/>
  <c r="O99" i="2"/>
  <c r="T98" i="2"/>
  <c r="S98" i="2"/>
  <c r="R98" i="2"/>
  <c r="Q98" i="2"/>
  <c r="P98" i="2"/>
  <c r="O98" i="2"/>
  <c r="T97" i="2"/>
  <c r="S97" i="2"/>
  <c r="R97" i="2"/>
  <c r="Q97" i="2"/>
  <c r="P97" i="2"/>
  <c r="O97" i="2"/>
  <c r="T96" i="2"/>
  <c r="S96" i="2"/>
  <c r="R96" i="2"/>
  <c r="Q96" i="2"/>
  <c r="P96" i="2"/>
  <c r="O96" i="2"/>
  <c r="T95" i="2"/>
  <c r="S95" i="2"/>
  <c r="R95" i="2"/>
  <c r="Q95" i="2"/>
  <c r="P95" i="2"/>
  <c r="O95" i="2"/>
  <c r="T94" i="2"/>
  <c r="S94" i="2"/>
  <c r="R94" i="2"/>
  <c r="Q94" i="2"/>
  <c r="P94" i="2"/>
  <c r="O94" i="2"/>
  <c r="T93" i="2"/>
  <c r="S93" i="2"/>
  <c r="R93" i="2"/>
  <c r="Q93" i="2"/>
  <c r="P93" i="2"/>
  <c r="O93" i="2"/>
  <c r="T92" i="2"/>
  <c r="S92" i="2"/>
  <c r="R92" i="2"/>
  <c r="Q92" i="2"/>
  <c r="P92" i="2"/>
  <c r="O92" i="2"/>
  <c r="T91" i="2"/>
  <c r="S91" i="2"/>
  <c r="R91" i="2"/>
  <c r="Q91" i="2"/>
  <c r="P91" i="2"/>
  <c r="O91" i="2"/>
  <c r="T90" i="2"/>
  <c r="S90" i="2"/>
  <c r="R90" i="2"/>
  <c r="Q90" i="2"/>
  <c r="P90" i="2"/>
  <c r="O90" i="2"/>
  <c r="T89" i="2"/>
  <c r="S89" i="2"/>
  <c r="R89" i="2"/>
  <c r="Q89" i="2"/>
  <c r="P89" i="2"/>
  <c r="O89" i="2"/>
  <c r="T88" i="2"/>
  <c r="S88" i="2"/>
  <c r="R88" i="2"/>
  <c r="Q88" i="2"/>
  <c r="P88" i="2"/>
  <c r="O88" i="2"/>
  <c r="T87" i="2"/>
  <c r="S87" i="2"/>
  <c r="R87" i="2"/>
  <c r="Q87" i="2"/>
  <c r="P87" i="2"/>
  <c r="O87" i="2"/>
  <c r="T86" i="2"/>
  <c r="S86" i="2"/>
  <c r="R86" i="2"/>
  <c r="Q86" i="2"/>
  <c r="P86" i="2"/>
  <c r="O86" i="2"/>
  <c r="T85" i="2"/>
  <c r="S85" i="2"/>
  <c r="R85" i="2"/>
  <c r="Q85" i="2"/>
  <c r="P85" i="2"/>
  <c r="O85" i="2"/>
  <c r="T84" i="2"/>
  <c r="S84" i="2"/>
  <c r="R84" i="2"/>
  <c r="Q84" i="2"/>
  <c r="P84" i="2"/>
  <c r="O84" i="2"/>
  <c r="T83" i="2"/>
  <c r="S83" i="2"/>
  <c r="R83" i="2"/>
  <c r="Q83" i="2"/>
  <c r="P83" i="2"/>
  <c r="O83" i="2"/>
  <c r="T82" i="2"/>
  <c r="S82" i="2"/>
  <c r="R82" i="2"/>
  <c r="Q82" i="2"/>
  <c r="P82" i="2"/>
  <c r="O82" i="2"/>
  <c r="T81" i="2"/>
  <c r="S81" i="2"/>
  <c r="R81" i="2"/>
  <c r="Q81" i="2"/>
  <c r="P81" i="2"/>
  <c r="O81" i="2"/>
  <c r="T80" i="2"/>
  <c r="S80" i="2"/>
  <c r="R80" i="2"/>
  <c r="Q80" i="2"/>
  <c r="P80" i="2"/>
  <c r="O80" i="2"/>
  <c r="T79" i="2"/>
  <c r="S79" i="2"/>
  <c r="R79" i="2"/>
  <c r="Q79" i="2"/>
  <c r="P79" i="2"/>
  <c r="O79" i="2"/>
  <c r="T78" i="2"/>
  <c r="S78" i="2"/>
  <c r="R78" i="2"/>
  <c r="Q78" i="2"/>
  <c r="P78" i="2"/>
  <c r="O78" i="2"/>
  <c r="T77" i="2"/>
  <c r="S77" i="2"/>
  <c r="R77" i="2"/>
  <c r="Q77" i="2"/>
  <c r="P77" i="2"/>
  <c r="O77" i="2"/>
  <c r="T76" i="2"/>
  <c r="S76" i="2"/>
  <c r="R76" i="2"/>
  <c r="Q76" i="2"/>
  <c r="P76" i="2"/>
  <c r="O76" i="2"/>
  <c r="T75" i="2"/>
  <c r="S75" i="2"/>
  <c r="R75" i="2"/>
  <c r="Q75" i="2"/>
  <c r="P75" i="2"/>
  <c r="O75" i="2"/>
  <c r="T74" i="2"/>
  <c r="S74" i="2"/>
  <c r="R74" i="2"/>
  <c r="Q74" i="2"/>
  <c r="P74" i="2"/>
  <c r="O74" i="2"/>
  <c r="T73" i="2"/>
  <c r="S73" i="2"/>
  <c r="R73" i="2"/>
  <c r="Q73" i="2"/>
  <c r="P73" i="2"/>
  <c r="O73" i="2"/>
  <c r="T72" i="2"/>
  <c r="S72" i="2"/>
  <c r="R72" i="2"/>
  <c r="Q72" i="2"/>
  <c r="P72" i="2"/>
  <c r="O72" i="2"/>
  <c r="T71" i="2"/>
  <c r="S71" i="2"/>
  <c r="R71" i="2"/>
  <c r="Q71" i="2"/>
  <c r="P71" i="2"/>
  <c r="O71" i="2"/>
  <c r="T70" i="2"/>
  <c r="S70" i="2"/>
  <c r="R70" i="2"/>
  <c r="Q70" i="2"/>
  <c r="P70" i="2"/>
  <c r="O70" i="2"/>
  <c r="T69" i="2"/>
  <c r="S69" i="2"/>
  <c r="R69" i="2"/>
  <c r="Q69" i="2"/>
  <c r="P69" i="2"/>
  <c r="O69" i="2"/>
  <c r="T68" i="2"/>
  <c r="S68" i="2"/>
  <c r="R68" i="2"/>
  <c r="Q68" i="2"/>
  <c r="P68" i="2"/>
  <c r="O68" i="2"/>
  <c r="T67" i="2"/>
  <c r="S67" i="2"/>
  <c r="R67" i="2"/>
  <c r="Q67" i="2"/>
  <c r="P67" i="2"/>
  <c r="O67" i="2"/>
  <c r="T66" i="2"/>
  <c r="S66" i="2"/>
  <c r="R66" i="2"/>
  <c r="Q66" i="2"/>
  <c r="P66" i="2"/>
  <c r="O66" i="2"/>
  <c r="T65" i="2"/>
  <c r="S65" i="2"/>
  <c r="R65" i="2"/>
  <c r="Q65" i="2"/>
  <c r="P65" i="2"/>
  <c r="O65" i="2"/>
  <c r="T64" i="2"/>
  <c r="S64" i="2"/>
  <c r="R64" i="2"/>
  <c r="Q64" i="2"/>
  <c r="P64" i="2"/>
  <c r="O64" i="2"/>
  <c r="T63" i="2"/>
  <c r="S63" i="2"/>
  <c r="R63" i="2"/>
  <c r="Q63" i="2"/>
  <c r="P63" i="2"/>
  <c r="O63" i="2"/>
  <c r="T62" i="2"/>
  <c r="S62" i="2"/>
  <c r="R62" i="2"/>
  <c r="Q62" i="2"/>
  <c r="P62" i="2"/>
  <c r="O62" i="2"/>
  <c r="T61" i="2"/>
  <c r="S61" i="2"/>
  <c r="R61" i="2"/>
  <c r="Q61" i="2"/>
  <c r="P61" i="2"/>
  <c r="O61" i="2"/>
  <c r="T60" i="2"/>
  <c r="S60" i="2"/>
  <c r="R60" i="2"/>
  <c r="Q60" i="2"/>
  <c r="P60" i="2"/>
  <c r="O60" i="2"/>
  <c r="T59" i="2"/>
  <c r="S59" i="2"/>
  <c r="R59" i="2"/>
  <c r="Q59" i="2"/>
  <c r="P59" i="2"/>
  <c r="O59" i="2"/>
  <c r="T58" i="2"/>
  <c r="S58" i="2"/>
  <c r="R58" i="2"/>
  <c r="Q58" i="2"/>
  <c r="P58" i="2"/>
  <c r="O58" i="2"/>
  <c r="T57" i="2"/>
  <c r="S57" i="2"/>
  <c r="R57" i="2"/>
  <c r="Q57" i="2"/>
  <c r="P57" i="2"/>
  <c r="O57" i="2"/>
  <c r="T56" i="2"/>
  <c r="S56" i="2"/>
  <c r="R56" i="2"/>
  <c r="Q56" i="2"/>
  <c r="P56" i="2"/>
  <c r="O56" i="2"/>
  <c r="T55" i="2"/>
  <c r="S55" i="2"/>
  <c r="R55" i="2"/>
  <c r="Q55" i="2"/>
  <c r="P55" i="2"/>
  <c r="O55" i="2"/>
  <c r="T54" i="2"/>
  <c r="S54" i="2"/>
  <c r="R54" i="2"/>
  <c r="Q54" i="2"/>
  <c r="P54" i="2"/>
  <c r="O54" i="2"/>
  <c r="T53" i="2"/>
  <c r="S53" i="2"/>
  <c r="R53" i="2"/>
  <c r="Q53" i="2"/>
  <c r="P53" i="2"/>
  <c r="O53" i="2"/>
  <c r="T52" i="2"/>
  <c r="S52" i="2"/>
  <c r="R52" i="2"/>
  <c r="Q52" i="2"/>
  <c r="P52" i="2"/>
  <c r="O52" i="2"/>
  <c r="T51" i="2"/>
  <c r="S51" i="2"/>
  <c r="R51" i="2"/>
  <c r="Q51" i="2"/>
  <c r="P51" i="2"/>
  <c r="O51" i="2"/>
  <c r="T50" i="2"/>
  <c r="S50" i="2"/>
  <c r="R50" i="2"/>
  <c r="Q50" i="2"/>
  <c r="P50" i="2"/>
  <c r="O50" i="2"/>
  <c r="T49" i="2"/>
  <c r="S49" i="2"/>
  <c r="R49" i="2"/>
  <c r="Q49" i="2"/>
  <c r="P49" i="2"/>
  <c r="O49" i="2"/>
  <c r="T48" i="2"/>
  <c r="S48" i="2"/>
  <c r="R48" i="2"/>
  <c r="Q48" i="2"/>
  <c r="P48" i="2"/>
  <c r="O48" i="2"/>
  <c r="T47" i="2"/>
  <c r="S47" i="2"/>
  <c r="R47" i="2"/>
  <c r="Q47" i="2"/>
  <c r="P47" i="2"/>
  <c r="O47" i="2"/>
  <c r="T46" i="2"/>
  <c r="S46" i="2"/>
  <c r="R46" i="2"/>
  <c r="Q46" i="2"/>
  <c r="P46" i="2"/>
  <c r="O46" i="2"/>
  <c r="T45" i="2"/>
  <c r="S45" i="2"/>
  <c r="R45" i="2"/>
  <c r="Q45" i="2"/>
  <c r="P45" i="2"/>
  <c r="O45" i="2"/>
  <c r="T44" i="2"/>
  <c r="S44" i="2"/>
  <c r="R44" i="2"/>
  <c r="Q44" i="2"/>
  <c r="P44" i="2"/>
  <c r="O44" i="2"/>
  <c r="T43" i="2"/>
  <c r="S43" i="2"/>
  <c r="R43" i="2"/>
  <c r="Q43" i="2"/>
  <c r="P43" i="2"/>
  <c r="O43" i="2"/>
  <c r="T42" i="2"/>
  <c r="S42" i="2"/>
  <c r="R42" i="2"/>
  <c r="Q42" i="2"/>
  <c r="P42" i="2"/>
  <c r="O42" i="2"/>
  <c r="T41" i="2"/>
  <c r="S41" i="2"/>
  <c r="R41" i="2"/>
  <c r="Q41" i="2"/>
  <c r="P41" i="2"/>
  <c r="O41" i="2"/>
  <c r="T40" i="2"/>
  <c r="S40" i="2"/>
  <c r="R40" i="2"/>
  <c r="Q40" i="2"/>
  <c r="P40" i="2"/>
  <c r="O40" i="2"/>
  <c r="T39" i="2"/>
  <c r="S39" i="2"/>
  <c r="R39" i="2"/>
  <c r="Q39" i="2"/>
  <c r="P39" i="2"/>
  <c r="O39" i="2"/>
  <c r="T38" i="2"/>
  <c r="S38" i="2"/>
  <c r="R38" i="2"/>
  <c r="Q38" i="2"/>
  <c r="P38" i="2"/>
  <c r="O38" i="2"/>
  <c r="T37" i="2"/>
  <c r="S37" i="2"/>
  <c r="R37" i="2"/>
  <c r="Q37" i="2"/>
  <c r="P37" i="2"/>
  <c r="O37" i="2"/>
  <c r="T36" i="2"/>
  <c r="S36" i="2"/>
  <c r="R36" i="2"/>
  <c r="Q36" i="2"/>
  <c r="P36" i="2"/>
  <c r="O36" i="2"/>
  <c r="T35" i="2"/>
  <c r="S35" i="2"/>
  <c r="R35" i="2"/>
  <c r="Q35" i="2"/>
  <c r="P35" i="2"/>
  <c r="O35" i="2"/>
  <c r="T34" i="2"/>
  <c r="S34" i="2"/>
  <c r="R34" i="2"/>
  <c r="Q34" i="2"/>
  <c r="P34" i="2"/>
  <c r="O34" i="2"/>
  <c r="T33" i="2"/>
  <c r="S33" i="2"/>
  <c r="R33" i="2"/>
  <c r="Q33" i="2"/>
  <c r="P33" i="2"/>
  <c r="O33" i="2"/>
  <c r="T32" i="2"/>
  <c r="S32" i="2"/>
  <c r="R32" i="2"/>
  <c r="Q32" i="2"/>
  <c r="P32" i="2"/>
  <c r="O32" i="2"/>
  <c r="T31" i="2"/>
  <c r="S31" i="2"/>
  <c r="R31" i="2"/>
  <c r="Q31" i="2"/>
  <c r="P31" i="2"/>
  <c r="O31" i="2"/>
  <c r="T30" i="2"/>
  <c r="S30" i="2"/>
  <c r="R30" i="2"/>
  <c r="Q30" i="2"/>
  <c r="P30" i="2"/>
  <c r="O30" i="2"/>
  <c r="T29" i="2"/>
  <c r="S29" i="2"/>
  <c r="R29" i="2"/>
  <c r="Q29" i="2"/>
  <c r="P29" i="2"/>
  <c r="O29" i="2"/>
  <c r="T28" i="2"/>
  <c r="S28" i="2"/>
  <c r="R28" i="2"/>
  <c r="Q28" i="2"/>
  <c r="P28" i="2"/>
  <c r="O28" i="2"/>
  <c r="T27" i="2"/>
  <c r="S27" i="2"/>
  <c r="R27" i="2"/>
  <c r="Q27" i="2"/>
  <c r="P27" i="2"/>
  <c r="O27" i="2"/>
  <c r="T26" i="2"/>
  <c r="S26" i="2"/>
  <c r="R26" i="2"/>
  <c r="Q26" i="2"/>
  <c r="P26" i="2"/>
  <c r="O26" i="2"/>
  <c r="T25" i="2"/>
  <c r="S25" i="2"/>
  <c r="R25" i="2"/>
  <c r="Q25" i="2"/>
  <c r="P25" i="2"/>
  <c r="O25" i="2"/>
  <c r="T24" i="2"/>
  <c r="S24" i="2"/>
  <c r="R24" i="2"/>
  <c r="Q24" i="2"/>
  <c r="P24" i="2"/>
  <c r="O24" i="2"/>
  <c r="T23" i="2"/>
  <c r="S23" i="2"/>
  <c r="R23" i="2"/>
  <c r="Q23" i="2"/>
  <c r="P23" i="2"/>
  <c r="O23" i="2"/>
  <c r="T22" i="2"/>
  <c r="S22" i="2"/>
  <c r="R22" i="2"/>
  <c r="Q22" i="2"/>
  <c r="P22" i="2"/>
  <c r="O22" i="2"/>
  <c r="T21" i="2"/>
  <c r="S21" i="2"/>
  <c r="R21" i="2"/>
  <c r="Q21" i="2"/>
  <c r="P21" i="2"/>
  <c r="O21" i="2"/>
  <c r="T20" i="2"/>
  <c r="S20" i="2"/>
  <c r="R20" i="2"/>
  <c r="Q20" i="2"/>
  <c r="P20" i="2"/>
  <c r="O20" i="2"/>
  <c r="T19" i="2"/>
  <c r="S19" i="2"/>
  <c r="R19" i="2"/>
  <c r="Q19" i="2"/>
  <c r="P19" i="2"/>
  <c r="O19" i="2"/>
  <c r="T18" i="2"/>
  <c r="S18" i="2"/>
  <c r="R18" i="2"/>
  <c r="Q18" i="2"/>
  <c r="P18" i="2"/>
  <c r="O18" i="2"/>
  <c r="T17" i="2"/>
  <c r="S17" i="2"/>
  <c r="R17" i="2"/>
  <c r="Q17" i="2"/>
  <c r="P17" i="2"/>
  <c r="O17" i="2"/>
  <c r="T16" i="2"/>
  <c r="S16" i="2"/>
  <c r="R16" i="2"/>
  <c r="Q16" i="2"/>
  <c r="P16" i="2"/>
  <c r="O16" i="2"/>
  <c r="T15" i="2"/>
  <c r="S15" i="2"/>
  <c r="R15" i="2"/>
  <c r="Q15" i="2"/>
  <c r="P15" i="2"/>
  <c r="O15" i="2"/>
  <c r="T14" i="2"/>
  <c r="S14" i="2"/>
  <c r="R14" i="2"/>
  <c r="Q14" i="2"/>
  <c r="P14" i="2"/>
  <c r="O14" i="2"/>
  <c r="T13" i="2"/>
  <c r="S13" i="2"/>
  <c r="R13" i="2"/>
  <c r="Q13" i="2"/>
  <c r="P13" i="2"/>
  <c r="O13" i="2"/>
  <c r="T12" i="2"/>
  <c r="S12" i="2"/>
  <c r="R12" i="2"/>
  <c r="Q12" i="2"/>
  <c r="P12" i="2"/>
  <c r="O12" i="2"/>
  <c r="T11" i="2"/>
  <c r="S11" i="2"/>
  <c r="R11" i="2"/>
  <c r="Q11" i="2"/>
  <c r="P11" i="2"/>
  <c r="O11" i="2"/>
  <c r="T10" i="2"/>
  <c r="S10" i="2"/>
  <c r="R10" i="2"/>
  <c r="Q10" i="2"/>
  <c r="P10" i="2"/>
  <c r="O10" i="2"/>
  <c r="T9" i="2"/>
  <c r="S9" i="2"/>
  <c r="R9" i="2"/>
  <c r="Q9" i="2"/>
  <c r="P9" i="2"/>
  <c r="O9" i="2"/>
  <c r="T8" i="2"/>
  <c r="S8" i="2"/>
  <c r="R8" i="2"/>
  <c r="Q8" i="2"/>
  <c r="P8" i="2"/>
  <c r="O8" i="2"/>
  <c r="T7" i="2"/>
  <c r="S7" i="2"/>
  <c r="R7" i="2"/>
  <c r="Q7" i="2"/>
  <c r="P7" i="2"/>
  <c r="O7" i="2"/>
  <c r="T6" i="2"/>
  <c r="S6" i="2"/>
  <c r="R6" i="2"/>
  <c r="Q6" i="2"/>
  <c r="P6" i="2"/>
  <c r="O6" i="2"/>
  <c r="T5" i="2"/>
  <c r="S5" i="2"/>
  <c r="R5" i="2"/>
  <c r="Q5" i="2"/>
  <c r="P5" i="2"/>
  <c r="O5" i="2"/>
  <c r="T4" i="2"/>
  <c r="S4" i="2"/>
  <c r="R4" i="2"/>
  <c r="Q4" i="2"/>
  <c r="P4" i="2"/>
  <c r="O4" i="2"/>
  <c r="T3" i="2"/>
  <c r="S3" i="2"/>
  <c r="R3" i="2"/>
  <c r="Q3" i="2"/>
  <c r="P3" i="2"/>
  <c r="O3" i="2"/>
  <c r="T2" i="2"/>
  <c r="S2" i="2"/>
  <c r="R2" i="2"/>
  <c r="Q2" i="2"/>
  <c r="P2" i="2"/>
  <c r="O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2" i="3"/>
  <c r="L323" i="2"/>
  <c r="J323" i="2"/>
</calcChain>
</file>

<file path=xl/sharedStrings.xml><?xml version="1.0" encoding="utf-8"?>
<sst xmlns="http://schemas.openxmlformats.org/spreadsheetml/2006/main" count="3028" uniqueCount="132">
  <si>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</si>
  <si>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</si>
  <si>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</si>
  <si>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</si>
  <si>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</si>
  <si>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</si>
  <si>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</si>
  <si>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</si>
  <si>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</si>
  <si>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</si>
  <si>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</si>
  <si>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</si>
  <si>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</si>
  <si>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</si>
  <si>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</si>
  <si>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</si>
  <si>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</si>
  <si>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</si>
  <si>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</si>
  <si>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</si>
  <si>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</si>
  <si>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</si>
  <si>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</si>
  <si>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</si>
  <si>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</si>
  <si>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</si>
  <si>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</si>
  <si>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</si>
  <si>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</si>
  <si>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</si>
  <si>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</si>
  <si>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</si>
  <si>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</si>
  <si>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</si>
  <si>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</si>
  <si>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</si>
  <si>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</si>
  <si>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</si>
  <si>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</si>
  <si>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</si>
  <si>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</si>
  <si>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</si>
  <si>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</si>
  <si>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</si>
  <si>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</si>
  <si>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</si>
  <si>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</si>
  <si>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</si>
  <si>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</si>
  <si>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</si>
  <si>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</si>
  <si>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</si>
  <si>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</si>
  <si>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</si>
  <si>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</si>
  <si>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</si>
  <si>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</si>
  <si>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</si>
  <si>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</si>
  <si>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</si>
  <si>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</si>
  <si>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</si>
  <si>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</si>
  <si>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</si>
  <si>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</si>
  <si>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</si>
  <si>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</si>
  <si>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</si>
  <si>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</si>
  <si>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</si>
  <si>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</si>
  <si>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</si>
  <si>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</si>
  <si>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</si>
  <si>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</si>
  <si>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</si>
  <si>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</si>
  <si>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</si>
  <si>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</si>
  <si>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</si>
  <si>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</si>
  <si>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</si>
  <si>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</si>
  <si>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</si>
  <si>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</si>
  <si>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</si>
  <si>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</si>
  <si>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</si>
  <si>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</si>
  <si>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</si>
  <si>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</si>
  <si>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</si>
  <si>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</si>
  <si>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</si>
  <si>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</si>
  <si>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</si>
  <si>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</si>
  <si>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</si>
  <si>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</si>
  <si>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</si>
  <si>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</si>
  <si>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</si>
  <si>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</si>
  <si>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</si>
  <si>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region_West</t>
  </si>
  <si>
    <t>type_HighStreet</t>
  </si>
  <si>
    <t>type_Airport</t>
  </si>
  <si>
    <t>type_Mall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</si>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</sst>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P14" sqref="P1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 x14ac:dyDescent="0.3">
      <c r="A3" t="s">
        <v>14</v>
      </c>
      <c r="B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 x14ac:dyDescent="0.3">
      <c r="A4" t="s">
        <v>14</v>
      </c>
      <c r="B4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 x14ac:dyDescent="0.3">
      <c r="A5" t="s">
        <v>14</v>
      </c>
      <c r="B5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 x14ac:dyDescent="0.3">
      <c r="A6" t="s">
        <v>17</v>
      </c>
      <c r="B6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 x14ac:dyDescent="0.3">
      <c r="A7" t="s">
        <v>17</v>
      </c>
      <c r="B7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 x14ac:dyDescent="0.3">
      <c r="A8" t="s">
        <v>17</v>
      </c>
      <c r="B8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 x14ac:dyDescent="0.3">
      <c r="A9" t="s">
        <v>17</v>
      </c>
      <c r="B9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 x14ac:dyDescent="0.3">
      <c r="A10" t="s">
        <v>19</v>
      </c>
      <c r="B10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 x14ac:dyDescent="0.3">
      <c r="A11" t="s">
        <v>19</v>
      </c>
      <c r="B11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 x14ac:dyDescent="0.3">
      <c r="A12" t="s">
        <v>19</v>
      </c>
      <c r="B1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 x14ac:dyDescent="0.3">
      <c r="A13" t="s">
        <v>19</v>
      </c>
      <c r="B1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 x14ac:dyDescent="0.3">
      <c r="A14" t="s">
        <v>22</v>
      </c>
      <c r="B14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 x14ac:dyDescent="0.3">
      <c r="A15" t="s">
        <v>22</v>
      </c>
      <c r="B15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 x14ac:dyDescent="0.3">
      <c r="A16" t="s">
        <v>22</v>
      </c>
      <c r="B16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 x14ac:dyDescent="0.3">
      <c r="A17" t="s">
        <v>22</v>
      </c>
      <c r="B17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 x14ac:dyDescent="0.3">
      <c r="A18" t="s">
        <v>23</v>
      </c>
      <c r="B18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 x14ac:dyDescent="0.3">
      <c r="A19" t="s">
        <v>23</v>
      </c>
      <c r="B19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 x14ac:dyDescent="0.3">
      <c r="A20" t="s">
        <v>23</v>
      </c>
      <c r="B20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 x14ac:dyDescent="0.3">
      <c r="A21" t="s">
        <v>23</v>
      </c>
      <c r="B21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 x14ac:dyDescent="0.3">
      <c r="A22" t="s">
        <v>25</v>
      </c>
      <c r="B2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 x14ac:dyDescent="0.3">
      <c r="A23" t="s">
        <v>25</v>
      </c>
      <c r="B2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 x14ac:dyDescent="0.3">
      <c r="A24" t="s">
        <v>25</v>
      </c>
      <c r="B24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 x14ac:dyDescent="0.3">
      <c r="A25" t="s">
        <v>25</v>
      </c>
      <c r="B25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 x14ac:dyDescent="0.3">
      <c r="A26" t="s">
        <v>26</v>
      </c>
      <c r="B26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 x14ac:dyDescent="0.3">
      <c r="A27" t="s">
        <v>26</v>
      </c>
      <c r="B27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 x14ac:dyDescent="0.3">
      <c r="A28" t="s">
        <v>26</v>
      </c>
      <c r="B28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 x14ac:dyDescent="0.3">
      <c r="A29" t="s">
        <v>26</v>
      </c>
      <c r="B29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 x14ac:dyDescent="0.3">
      <c r="A30" t="s">
        <v>29</v>
      </c>
      <c r="B30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 x14ac:dyDescent="0.3">
      <c r="A31" t="s">
        <v>29</v>
      </c>
      <c r="B31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 x14ac:dyDescent="0.3">
      <c r="A32" t="s">
        <v>29</v>
      </c>
      <c r="B3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 x14ac:dyDescent="0.3">
      <c r="A33" t="s">
        <v>29</v>
      </c>
      <c r="B3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 x14ac:dyDescent="0.3">
      <c r="A34" t="s">
        <v>30</v>
      </c>
      <c r="B34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 x14ac:dyDescent="0.3">
      <c r="A35" t="s">
        <v>30</v>
      </c>
      <c r="B35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 x14ac:dyDescent="0.3">
      <c r="A36" t="s">
        <v>30</v>
      </c>
      <c r="B36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 x14ac:dyDescent="0.3">
      <c r="A37" t="s">
        <v>30</v>
      </c>
      <c r="B37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 x14ac:dyDescent="0.3">
      <c r="A38" t="s">
        <v>31</v>
      </c>
      <c r="B38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 x14ac:dyDescent="0.3">
      <c r="A39" t="s">
        <v>31</v>
      </c>
      <c r="B39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 x14ac:dyDescent="0.3">
      <c r="A40" t="s">
        <v>31</v>
      </c>
      <c r="B40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 x14ac:dyDescent="0.3">
      <c r="A41" t="s">
        <v>31</v>
      </c>
      <c r="B41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 x14ac:dyDescent="0.3">
      <c r="A42" t="s">
        <v>32</v>
      </c>
      <c r="B4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 x14ac:dyDescent="0.3">
      <c r="A43" t="s">
        <v>32</v>
      </c>
      <c r="B4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 x14ac:dyDescent="0.3">
      <c r="A44" t="s">
        <v>32</v>
      </c>
      <c r="B44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 x14ac:dyDescent="0.3">
      <c r="A45" t="s">
        <v>32</v>
      </c>
      <c r="B45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 x14ac:dyDescent="0.3">
      <c r="A46" t="s">
        <v>33</v>
      </c>
      <c r="B46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 x14ac:dyDescent="0.3">
      <c r="A47" t="s">
        <v>33</v>
      </c>
      <c r="B47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 x14ac:dyDescent="0.3">
      <c r="A48" t="s">
        <v>33</v>
      </c>
      <c r="B48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 x14ac:dyDescent="0.3">
      <c r="A49" t="s">
        <v>33</v>
      </c>
      <c r="B49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 x14ac:dyDescent="0.3">
      <c r="A50" t="s">
        <v>34</v>
      </c>
      <c r="B50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 x14ac:dyDescent="0.3">
      <c r="A51" t="s">
        <v>34</v>
      </c>
      <c r="B51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 x14ac:dyDescent="0.3">
      <c r="A52" t="s">
        <v>34</v>
      </c>
      <c r="B5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 x14ac:dyDescent="0.3">
      <c r="A53" t="s">
        <v>34</v>
      </c>
      <c r="B5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 x14ac:dyDescent="0.3">
      <c r="A54" t="s">
        <v>35</v>
      </c>
      <c r="B54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 x14ac:dyDescent="0.3">
      <c r="A55" t="s">
        <v>35</v>
      </c>
      <c r="B55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 x14ac:dyDescent="0.3">
      <c r="A56" t="s">
        <v>35</v>
      </c>
      <c r="B56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 x14ac:dyDescent="0.3">
      <c r="A57" t="s">
        <v>35</v>
      </c>
      <c r="B57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 x14ac:dyDescent="0.3">
      <c r="A58" t="s">
        <v>36</v>
      </c>
      <c r="B58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 x14ac:dyDescent="0.3">
      <c r="A59" t="s">
        <v>36</v>
      </c>
      <c r="B59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 x14ac:dyDescent="0.3">
      <c r="A60" t="s">
        <v>36</v>
      </c>
      <c r="B60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 x14ac:dyDescent="0.3">
      <c r="A61" t="s">
        <v>36</v>
      </c>
      <c r="B61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 x14ac:dyDescent="0.3">
      <c r="A62" t="s">
        <v>37</v>
      </c>
      <c r="B6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 x14ac:dyDescent="0.3">
      <c r="A63" t="s">
        <v>37</v>
      </c>
      <c r="B6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 x14ac:dyDescent="0.3">
      <c r="A64" t="s">
        <v>37</v>
      </c>
      <c r="B64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 x14ac:dyDescent="0.3">
      <c r="A65" t="s">
        <v>37</v>
      </c>
      <c r="B65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 x14ac:dyDescent="0.3">
      <c r="A66" t="s">
        <v>38</v>
      </c>
      <c r="B66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 x14ac:dyDescent="0.3">
      <c r="A67" t="s">
        <v>38</v>
      </c>
      <c r="B67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 x14ac:dyDescent="0.3">
      <c r="A68" t="s">
        <v>38</v>
      </c>
      <c r="B68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 x14ac:dyDescent="0.3">
      <c r="A69" t="s">
        <v>38</v>
      </c>
      <c r="B69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 x14ac:dyDescent="0.3">
      <c r="A70" t="s">
        <v>39</v>
      </c>
      <c r="B70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 x14ac:dyDescent="0.3">
      <c r="A71" t="s">
        <v>39</v>
      </c>
      <c r="B71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 x14ac:dyDescent="0.3">
      <c r="A72" t="s">
        <v>39</v>
      </c>
      <c r="B7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 x14ac:dyDescent="0.3">
      <c r="A73" t="s">
        <v>39</v>
      </c>
      <c r="B7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 x14ac:dyDescent="0.3">
      <c r="A74" t="s">
        <v>40</v>
      </c>
      <c r="B74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 x14ac:dyDescent="0.3">
      <c r="A75" t="s">
        <v>40</v>
      </c>
      <c r="B75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 x14ac:dyDescent="0.3">
      <c r="A76" t="s">
        <v>40</v>
      </c>
      <c r="B76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 x14ac:dyDescent="0.3">
      <c r="A77" t="s">
        <v>40</v>
      </c>
      <c r="B77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 x14ac:dyDescent="0.3">
      <c r="A78" t="s">
        <v>41</v>
      </c>
      <c r="B78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 x14ac:dyDescent="0.3">
      <c r="A79" t="s">
        <v>41</v>
      </c>
      <c r="B79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 x14ac:dyDescent="0.3">
      <c r="A80" t="s">
        <v>41</v>
      </c>
      <c r="B80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 x14ac:dyDescent="0.3">
      <c r="A81" t="s">
        <v>41</v>
      </c>
      <c r="B81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 x14ac:dyDescent="0.3">
      <c r="A82" t="s">
        <v>42</v>
      </c>
      <c r="B8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 x14ac:dyDescent="0.3">
      <c r="A83" t="s">
        <v>42</v>
      </c>
      <c r="B8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 x14ac:dyDescent="0.3">
      <c r="A84" t="s">
        <v>42</v>
      </c>
      <c r="B84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 x14ac:dyDescent="0.3">
      <c r="A85" t="s">
        <v>42</v>
      </c>
      <c r="B85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 x14ac:dyDescent="0.3">
      <c r="A86" t="s">
        <v>43</v>
      </c>
      <c r="B86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 x14ac:dyDescent="0.3">
      <c r="A87" t="s">
        <v>43</v>
      </c>
      <c r="B87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 x14ac:dyDescent="0.3">
      <c r="A88" t="s">
        <v>43</v>
      </c>
      <c r="B88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 x14ac:dyDescent="0.3">
      <c r="A89" t="s">
        <v>43</v>
      </c>
      <c r="B89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 x14ac:dyDescent="0.3">
      <c r="A90" t="s">
        <v>44</v>
      </c>
      <c r="B90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 x14ac:dyDescent="0.3">
      <c r="A91" t="s">
        <v>44</v>
      </c>
      <c r="B91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 x14ac:dyDescent="0.3">
      <c r="A92" t="s">
        <v>44</v>
      </c>
      <c r="B9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 x14ac:dyDescent="0.3">
      <c r="A93" t="s">
        <v>44</v>
      </c>
      <c r="B9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 x14ac:dyDescent="0.3">
      <c r="A94" t="s">
        <v>45</v>
      </c>
      <c r="B94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 x14ac:dyDescent="0.3">
      <c r="A95" t="s">
        <v>45</v>
      </c>
      <c r="B95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 x14ac:dyDescent="0.3">
      <c r="A96" t="s">
        <v>45</v>
      </c>
      <c r="B96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 x14ac:dyDescent="0.3">
      <c r="A97" t="s">
        <v>45</v>
      </c>
      <c r="B97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 x14ac:dyDescent="0.3">
      <c r="A98" t="s">
        <v>46</v>
      </c>
      <c r="B98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 x14ac:dyDescent="0.3">
      <c r="A99" t="s">
        <v>46</v>
      </c>
      <c r="B99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 x14ac:dyDescent="0.3">
      <c r="A100" t="s">
        <v>46</v>
      </c>
      <c r="B100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 x14ac:dyDescent="0.3">
      <c r="A101" t="s">
        <v>46</v>
      </c>
      <c r="B101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 x14ac:dyDescent="0.3">
      <c r="A102" t="s">
        <v>47</v>
      </c>
      <c r="B10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 x14ac:dyDescent="0.3">
      <c r="A103" t="s">
        <v>47</v>
      </c>
      <c r="B10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 x14ac:dyDescent="0.3">
      <c r="A104" t="s">
        <v>47</v>
      </c>
      <c r="B104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 x14ac:dyDescent="0.3">
      <c r="A105" t="s">
        <v>47</v>
      </c>
      <c r="B105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 x14ac:dyDescent="0.3">
      <c r="A106" t="s">
        <v>48</v>
      </c>
      <c r="B106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 x14ac:dyDescent="0.3">
      <c r="A107" t="s">
        <v>48</v>
      </c>
      <c r="B107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 x14ac:dyDescent="0.3">
      <c r="A108" t="s">
        <v>48</v>
      </c>
      <c r="B108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 x14ac:dyDescent="0.3">
      <c r="A109" t="s">
        <v>48</v>
      </c>
      <c r="B109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 x14ac:dyDescent="0.3">
      <c r="A110" t="s">
        <v>49</v>
      </c>
      <c r="B110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 x14ac:dyDescent="0.3">
      <c r="A111" t="s">
        <v>49</v>
      </c>
      <c r="B111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 x14ac:dyDescent="0.3">
      <c r="A112" t="s">
        <v>49</v>
      </c>
      <c r="B11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 x14ac:dyDescent="0.3">
      <c r="A113" t="s">
        <v>49</v>
      </c>
      <c r="B11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 x14ac:dyDescent="0.3">
      <c r="A114" t="s">
        <v>50</v>
      </c>
      <c r="B114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 x14ac:dyDescent="0.3">
      <c r="A115" t="s">
        <v>50</v>
      </c>
      <c r="B115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 x14ac:dyDescent="0.3">
      <c r="A116" t="s">
        <v>50</v>
      </c>
      <c r="B116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 x14ac:dyDescent="0.3">
      <c r="A117" t="s">
        <v>50</v>
      </c>
      <c r="B117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 x14ac:dyDescent="0.3">
      <c r="A118" t="s">
        <v>51</v>
      </c>
      <c r="B118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 x14ac:dyDescent="0.3">
      <c r="A119" t="s">
        <v>51</v>
      </c>
      <c r="B119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 x14ac:dyDescent="0.3">
      <c r="A120" t="s">
        <v>51</v>
      </c>
      <c r="B120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 x14ac:dyDescent="0.3">
      <c r="A121" t="s">
        <v>51</v>
      </c>
      <c r="B121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 x14ac:dyDescent="0.3">
      <c r="A122" t="s">
        <v>52</v>
      </c>
      <c r="B12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 x14ac:dyDescent="0.3">
      <c r="A123" t="s">
        <v>52</v>
      </c>
      <c r="B12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 x14ac:dyDescent="0.3">
      <c r="A124" t="s">
        <v>52</v>
      </c>
      <c r="B124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 x14ac:dyDescent="0.3">
      <c r="A125" t="s">
        <v>52</v>
      </c>
      <c r="B125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 x14ac:dyDescent="0.3">
      <c r="A126" t="s">
        <v>53</v>
      </c>
      <c r="B126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 x14ac:dyDescent="0.3">
      <c r="A127" t="s">
        <v>53</v>
      </c>
      <c r="B127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 x14ac:dyDescent="0.3">
      <c r="A128" t="s">
        <v>53</v>
      </c>
      <c r="B128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 x14ac:dyDescent="0.3">
      <c r="A129" t="s">
        <v>53</v>
      </c>
      <c r="B129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 x14ac:dyDescent="0.3">
      <c r="A130" t="s">
        <v>54</v>
      </c>
      <c r="B130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 x14ac:dyDescent="0.3">
      <c r="A131" t="s">
        <v>54</v>
      </c>
      <c r="B131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 x14ac:dyDescent="0.3">
      <c r="A132" t="s">
        <v>54</v>
      </c>
      <c r="B13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 x14ac:dyDescent="0.3">
      <c r="A133" t="s">
        <v>54</v>
      </c>
      <c r="B13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 x14ac:dyDescent="0.3">
      <c r="A134" t="s">
        <v>55</v>
      </c>
      <c r="B134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 x14ac:dyDescent="0.3">
      <c r="A135" t="s">
        <v>55</v>
      </c>
      <c r="B135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 x14ac:dyDescent="0.3">
      <c r="A136" t="s">
        <v>55</v>
      </c>
      <c r="B136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 x14ac:dyDescent="0.3">
      <c r="A137" t="s">
        <v>55</v>
      </c>
      <c r="B137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 x14ac:dyDescent="0.3">
      <c r="A138" t="s">
        <v>56</v>
      </c>
      <c r="B138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 x14ac:dyDescent="0.3">
      <c r="A139" t="s">
        <v>56</v>
      </c>
      <c r="B139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 x14ac:dyDescent="0.3">
      <c r="A140" t="s">
        <v>56</v>
      </c>
      <c r="B140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 x14ac:dyDescent="0.3">
      <c r="A141" t="s">
        <v>56</v>
      </c>
      <c r="B141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 x14ac:dyDescent="0.3">
      <c r="A142" t="s">
        <v>57</v>
      </c>
      <c r="B14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 x14ac:dyDescent="0.3">
      <c r="A143" t="s">
        <v>57</v>
      </c>
      <c r="B14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 x14ac:dyDescent="0.3">
      <c r="A144" t="s">
        <v>57</v>
      </c>
      <c r="B144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 x14ac:dyDescent="0.3">
      <c r="A145" t="s">
        <v>57</v>
      </c>
      <c r="B145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 x14ac:dyDescent="0.3">
      <c r="A146" t="s">
        <v>58</v>
      </c>
      <c r="B146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 x14ac:dyDescent="0.3">
      <c r="A147" t="s">
        <v>58</v>
      </c>
      <c r="B147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 x14ac:dyDescent="0.3">
      <c r="A148" t="s">
        <v>58</v>
      </c>
      <c r="B148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 x14ac:dyDescent="0.3">
      <c r="A149" t="s">
        <v>58</v>
      </c>
      <c r="B149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 x14ac:dyDescent="0.3">
      <c r="A150" t="s">
        <v>59</v>
      </c>
      <c r="B150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 x14ac:dyDescent="0.3">
      <c r="A151" t="s">
        <v>59</v>
      </c>
      <c r="B151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 x14ac:dyDescent="0.3">
      <c r="A152" t="s">
        <v>59</v>
      </c>
      <c r="B15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 x14ac:dyDescent="0.3">
      <c r="A153" t="s">
        <v>59</v>
      </c>
      <c r="B15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 x14ac:dyDescent="0.3">
      <c r="A154" t="s">
        <v>60</v>
      </c>
      <c r="B154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 x14ac:dyDescent="0.3">
      <c r="A155" t="s">
        <v>60</v>
      </c>
      <c r="B155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 x14ac:dyDescent="0.3">
      <c r="A156" t="s">
        <v>60</v>
      </c>
      <c r="B156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 x14ac:dyDescent="0.3">
      <c r="A157" t="s">
        <v>60</v>
      </c>
      <c r="B157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 x14ac:dyDescent="0.3">
      <c r="A158" t="s">
        <v>61</v>
      </c>
      <c r="B158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 x14ac:dyDescent="0.3">
      <c r="A159" t="s">
        <v>61</v>
      </c>
      <c r="B159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 x14ac:dyDescent="0.3">
      <c r="A160" t="s">
        <v>61</v>
      </c>
      <c r="B160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 x14ac:dyDescent="0.3">
      <c r="A161" t="s">
        <v>61</v>
      </c>
      <c r="B161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 x14ac:dyDescent="0.3">
      <c r="A162" t="s">
        <v>62</v>
      </c>
      <c r="B16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 x14ac:dyDescent="0.3">
      <c r="A163" t="s">
        <v>62</v>
      </c>
      <c r="B16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 x14ac:dyDescent="0.3">
      <c r="A164" t="s">
        <v>62</v>
      </c>
      <c r="B164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 x14ac:dyDescent="0.3">
      <c r="A165" t="s">
        <v>62</v>
      </c>
      <c r="B165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 x14ac:dyDescent="0.3">
      <c r="A166" t="s">
        <v>63</v>
      </c>
      <c r="B166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 x14ac:dyDescent="0.3">
      <c r="A167" t="s">
        <v>63</v>
      </c>
      <c r="B167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 x14ac:dyDescent="0.3">
      <c r="A168" t="s">
        <v>63</v>
      </c>
      <c r="B168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 x14ac:dyDescent="0.3">
      <c r="A169" t="s">
        <v>63</v>
      </c>
      <c r="B169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 x14ac:dyDescent="0.3">
      <c r="A170" t="s">
        <v>64</v>
      </c>
      <c r="B170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 x14ac:dyDescent="0.3">
      <c r="A171" t="s">
        <v>64</v>
      </c>
      <c r="B171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 x14ac:dyDescent="0.3">
      <c r="A172" t="s">
        <v>64</v>
      </c>
      <c r="B17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 x14ac:dyDescent="0.3">
      <c r="A173" t="s">
        <v>64</v>
      </c>
      <c r="B17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 x14ac:dyDescent="0.3">
      <c r="A174" t="s">
        <v>65</v>
      </c>
      <c r="B174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 x14ac:dyDescent="0.3">
      <c r="A175" t="s">
        <v>65</v>
      </c>
      <c r="B175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 x14ac:dyDescent="0.3">
      <c r="A176" t="s">
        <v>65</v>
      </c>
      <c r="B176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 x14ac:dyDescent="0.3">
      <c r="A177" t="s">
        <v>65</v>
      </c>
      <c r="B177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 x14ac:dyDescent="0.3">
      <c r="A178" t="s">
        <v>66</v>
      </c>
      <c r="B178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 x14ac:dyDescent="0.3">
      <c r="A179" t="s">
        <v>66</v>
      </c>
      <c r="B179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 x14ac:dyDescent="0.3">
      <c r="A180" t="s">
        <v>66</v>
      </c>
      <c r="B180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 x14ac:dyDescent="0.3">
      <c r="A181" t="s">
        <v>66</v>
      </c>
      <c r="B181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 x14ac:dyDescent="0.3">
      <c r="A182" t="s">
        <v>67</v>
      </c>
      <c r="B18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 x14ac:dyDescent="0.3">
      <c r="A183" t="s">
        <v>67</v>
      </c>
      <c r="B18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 x14ac:dyDescent="0.3">
      <c r="A184" t="s">
        <v>67</v>
      </c>
      <c r="B184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 x14ac:dyDescent="0.3">
      <c r="A185" t="s">
        <v>67</v>
      </c>
      <c r="B185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 x14ac:dyDescent="0.3">
      <c r="A186" t="s">
        <v>68</v>
      </c>
      <c r="B186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 x14ac:dyDescent="0.3">
      <c r="A187" t="s">
        <v>68</v>
      </c>
      <c r="B187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 x14ac:dyDescent="0.3">
      <c r="A188" t="s">
        <v>68</v>
      </c>
      <c r="B188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 x14ac:dyDescent="0.3">
      <c r="A189" t="s">
        <v>68</v>
      </c>
      <c r="B189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 x14ac:dyDescent="0.3">
      <c r="A190" t="s">
        <v>69</v>
      </c>
      <c r="B190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 x14ac:dyDescent="0.3">
      <c r="A191" t="s">
        <v>69</v>
      </c>
      <c r="B191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 x14ac:dyDescent="0.3">
      <c r="A192" t="s">
        <v>69</v>
      </c>
      <c r="B19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 x14ac:dyDescent="0.3">
      <c r="A193" t="s">
        <v>69</v>
      </c>
      <c r="B19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 x14ac:dyDescent="0.3">
      <c r="A194" t="s">
        <v>70</v>
      </c>
      <c r="B194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 x14ac:dyDescent="0.3">
      <c r="A195" t="s">
        <v>70</v>
      </c>
      <c r="B195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 x14ac:dyDescent="0.3">
      <c r="A196" t="s">
        <v>70</v>
      </c>
      <c r="B196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 x14ac:dyDescent="0.3">
      <c r="A197" t="s">
        <v>70</v>
      </c>
      <c r="B197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 x14ac:dyDescent="0.3">
      <c r="A198" t="s">
        <v>71</v>
      </c>
      <c r="B198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 x14ac:dyDescent="0.3">
      <c r="A199" t="s">
        <v>71</v>
      </c>
      <c r="B199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 x14ac:dyDescent="0.3">
      <c r="A200" t="s">
        <v>71</v>
      </c>
      <c r="B200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 x14ac:dyDescent="0.3">
      <c r="A201" t="s">
        <v>71</v>
      </c>
      <c r="B201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 x14ac:dyDescent="0.3">
      <c r="A202" t="s">
        <v>72</v>
      </c>
      <c r="B20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 x14ac:dyDescent="0.3">
      <c r="A203" t="s">
        <v>72</v>
      </c>
      <c r="B20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 x14ac:dyDescent="0.3">
      <c r="A204" t="s">
        <v>72</v>
      </c>
      <c r="B204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 x14ac:dyDescent="0.3">
      <c r="A205" t="s">
        <v>72</v>
      </c>
      <c r="B205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 x14ac:dyDescent="0.3">
      <c r="A206" t="s">
        <v>73</v>
      </c>
      <c r="B206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 x14ac:dyDescent="0.3">
      <c r="A207" t="s">
        <v>73</v>
      </c>
      <c r="B207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 x14ac:dyDescent="0.3">
      <c r="A208" t="s">
        <v>73</v>
      </c>
      <c r="B208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 x14ac:dyDescent="0.3">
      <c r="A209" t="s">
        <v>73</v>
      </c>
      <c r="B209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 x14ac:dyDescent="0.3">
      <c r="A210" t="s">
        <v>74</v>
      </c>
      <c r="B210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 x14ac:dyDescent="0.3">
      <c r="A211" t="s">
        <v>74</v>
      </c>
      <c r="B211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 x14ac:dyDescent="0.3">
      <c r="A212" t="s">
        <v>74</v>
      </c>
      <c r="B21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 x14ac:dyDescent="0.3">
      <c r="A213" t="s">
        <v>74</v>
      </c>
      <c r="B21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 x14ac:dyDescent="0.3">
      <c r="A214" t="s">
        <v>75</v>
      </c>
      <c r="B214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 x14ac:dyDescent="0.3">
      <c r="A215" t="s">
        <v>75</v>
      </c>
      <c r="B215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 x14ac:dyDescent="0.3">
      <c r="A216" t="s">
        <v>75</v>
      </c>
      <c r="B216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 x14ac:dyDescent="0.3">
      <c r="A217" t="s">
        <v>75</v>
      </c>
      <c r="B217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 x14ac:dyDescent="0.3">
      <c r="A218" t="s">
        <v>76</v>
      </c>
      <c r="B218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 x14ac:dyDescent="0.3">
      <c r="A219" t="s">
        <v>76</v>
      </c>
      <c r="B219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 x14ac:dyDescent="0.3">
      <c r="A220" t="s">
        <v>76</v>
      </c>
      <c r="B220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 x14ac:dyDescent="0.3">
      <c r="A221" t="s">
        <v>76</v>
      </c>
      <c r="B221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 x14ac:dyDescent="0.3">
      <c r="A222" t="s">
        <v>77</v>
      </c>
      <c r="B22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 x14ac:dyDescent="0.3">
      <c r="A223" t="s">
        <v>77</v>
      </c>
      <c r="B22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 x14ac:dyDescent="0.3">
      <c r="A224" t="s">
        <v>77</v>
      </c>
      <c r="B224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 x14ac:dyDescent="0.3">
      <c r="A225" t="s">
        <v>77</v>
      </c>
      <c r="B225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 x14ac:dyDescent="0.3">
      <c r="A226" t="s">
        <v>78</v>
      </c>
      <c r="B226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 x14ac:dyDescent="0.3">
      <c r="A227" t="s">
        <v>78</v>
      </c>
      <c r="B227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 x14ac:dyDescent="0.3">
      <c r="A228" t="s">
        <v>78</v>
      </c>
      <c r="B228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 x14ac:dyDescent="0.3">
      <c r="A229" t="s">
        <v>78</v>
      </c>
      <c r="B229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 x14ac:dyDescent="0.3">
      <c r="A230" t="s">
        <v>79</v>
      </c>
      <c r="B230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 x14ac:dyDescent="0.3">
      <c r="A231" t="s">
        <v>79</v>
      </c>
      <c r="B231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 x14ac:dyDescent="0.3">
      <c r="A232" t="s">
        <v>79</v>
      </c>
      <c r="B23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 x14ac:dyDescent="0.3">
      <c r="A233" t="s">
        <v>79</v>
      </c>
      <c r="B23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 x14ac:dyDescent="0.3">
      <c r="A234" t="s">
        <v>80</v>
      </c>
      <c r="B234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 x14ac:dyDescent="0.3">
      <c r="A235" t="s">
        <v>80</v>
      </c>
      <c r="B235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 x14ac:dyDescent="0.3">
      <c r="A236" t="s">
        <v>80</v>
      </c>
      <c r="B236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 x14ac:dyDescent="0.3">
      <c r="A237" t="s">
        <v>80</v>
      </c>
      <c r="B237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 x14ac:dyDescent="0.3">
      <c r="A238" t="s">
        <v>81</v>
      </c>
      <c r="B238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 x14ac:dyDescent="0.3">
      <c r="A239" t="s">
        <v>81</v>
      </c>
      <c r="B239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 x14ac:dyDescent="0.3">
      <c r="A240" t="s">
        <v>81</v>
      </c>
      <c r="B240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 x14ac:dyDescent="0.3">
      <c r="A241" t="s">
        <v>81</v>
      </c>
      <c r="B241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 x14ac:dyDescent="0.3">
      <c r="A242" t="s">
        <v>82</v>
      </c>
      <c r="B24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 x14ac:dyDescent="0.3">
      <c r="A243" t="s">
        <v>82</v>
      </c>
      <c r="B24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 x14ac:dyDescent="0.3">
      <c r="A244" t="s">
        <v>82</v>
      </c>
      <c r="B244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 x14ac:dyDescent="0.3">
      <c r="A245" t="s">
        <v>82</v>
      </c>
      <c r="B245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 x14ac:dyDescent="0.3">
      <c r="A246" t="s">
        <v>83</v>
      </c>
      <c r="B246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 x14ac:dyDescent="0.3">
      <c r="A247" t="s">
        <v>83</v>
      </c>
      <c r="B247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 x14ac:dyDescent="0.3">
      <c r="A248" t="s">
        <v>83</v>
      </c>
      <c r="B248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 x14ac:dyDescent="0.3">
      <c r="A249" t="s">
        <v>83</v>
      </c>
      <c r="B249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 x14ac:dyDescent="0.3">
      <c r="A250" t="s">
        <v>84</v>
      </c>
      <c r="B250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 x14ac:dyDescent="0.3">
      <c r="A251" t="s">
        <v>84</v>
      </c>
      <c r="B251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 x14ac:dyDescent="0.3">
      <c r="A252" t="s">
        <v>84</v>
      </c>
      <c r="B25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 x14ac:dyDescent="0.3">
      <c r="A253" t="s">
        <v>84</v>
      </c>
      <c r="B25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 x14ac:dyDescent="0.3">
      <c r="A254" t="s">
        <v>85</v>
      </c>
      <c r="B254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 x14ac:dyDescent="0.3">
      <c r="A255" t="s">
        <v>85</v>
      </c>
      <c r="B255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 x14ac:dyDescent="0.3">
      <c r="A256" t="s">
        <v>85</v>
      </c>
      <c r="B256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 x14ac:dyDescent="0.3">
      <c r="A257" t="s">
        <v>85</v>
      </c>
      <c r="B257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 x14ac:dyDescent="0.3">
      <c r="A258" t="s">
        <v>86</v>
      </c>
      <c r="B258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 x14ac:dyDescent="0.3">
      <c r="A259" t="s">
        <v>86</v>
      </c>
      <c r="B259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 x14ac:dyDescent="0.3">
      <c r="A260" t="s">
        <v>86</v>
      </c>
      <c r="B260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 x14ac:dyDescent="0.3">
      <c r="A261" t="s">
        <v>86</v>
      </c>
      <c r="B261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 x14ac:dyDescent="0.3">
      <c r="A262" t="s">
        <v>87</v>
      </c>
      <c r="B26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 x14ac:dyDescent="0.3">
      <c r="A263" t="s">
        <v>87</v>
      </c>
      <c r="B26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 x14ac:dyDescent="0.3">
      <c r="A264" t="s">
        <v>87</v>
      </c>
      <c r="B264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 x14ac:dyDescent="0.3">
      <c r="A265" t="s">
        <v>87</v>
      </c>
      <c r="B265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 x14ac:dyDescent="0.3">
      <c r="A266" t="s">
        <v>88</v>
      </c>
      <c r="B266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 x14ac:dyDescent="0.3">
      <c r="A267" t="s">
        <v>88</v>
      </c>
      <c r="B267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 x14ac:dyDescent="0.3">
      <c r="A268" t="s">
        <v>88</v>
      </c>
      <c r="B268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 x14ac:dyDescent="0.3">
      <c r="A269" t="s">
        <v>88</v>
      </c>
      <c r="B269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 x14ac:dyDescent="0.3">
      <c r="A270" t="s">
        <v>89</v>
      </c>
      <c r="B270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 x14ac:dyDescent="0.3">
      <c r="A271" t="s">
        <v>89</v>
      </c>
      <c r="B271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 x14ac:dyDescent="0.3">
      <c r="A272" t="s">
        <v>89</v>
      </c>
      <c r="B27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 x14ac:dyDescent="0.3">
      <c r="A273" t="s">
        <v>89</v>
      </c>
      <c r="B27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 x14ac:dyDescent="0.3">
      <c r="A274" t="s">
        <v>90</v>
      </c>
      <c r="B274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 x14ac:dyDescent="0.3">
      <c r="A275" t="s">
        <v>90</v>
      </c>
      <c r="B275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 x14ac:dyDescent="0.3">
      <c r="A276" t="s">
        <v>90</v>
      </c>
      <c r="B276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 x14ac:dyDescent="0.3">
      <c r="A277" t="s">
        <v>90</v>
      </c>
      <c r="B277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 x14ac:dyDescent="0.3">
      <c r="A278" t="s">
        <v>91</v>
      </c>
      <c r="B278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 x14ac:dyDescent="0.3">
      <c r="A279" t="s">
        <v>91</v>
      </c>
      <c r="B279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 x14ac:dyDescent="0.3">
      <c r="A280" t="s">
        <v>91</v>
      </c>
      <c r="B280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 x14ac:dyDescent="0.3">
      <c r="A281" t="s">
        <v>91</v>
      </c>
      <c r="B281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 x14ac:dyDescent="0.3">
      <c r="A282" t="s">
        <v>92</v>
      </c>
      <c r="B28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 x14ac:dyDescent="0.3">
      <c r="A283" t="s">
        <v>92</v>
      </c>
      <c r="B28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 x14ac:dyDescent="0.3">
      <c r="A284" t="s">
        <v>92</v>
      </c>
      <c r="B284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 x14ac:dyDescent="0.3">
      <c r="A285" t="s">
        <v>92</v>
      </c>
      <c r="B285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 x14ac:dyDescent="0.3">
      <c r="A286" t="s">
        <v>93</v>
      </c>
      <c r="B286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 x14ac:dyDescent="0.3">
      <c r="A287" t="s">
        <v>93</v>
      </c>
      <c r="B287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 x14ac:dyDescent="0.3">
      <c r="A288" t="s">
        <v>93</v>
      </c>
      <c r="B288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 x14ac:dyDescent="0.3">
      <c r="A289" t="s">
        <v>93</v>
      </c>
      <c r="B289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 x14ac:dyDescent="0.3">
      <c r="A290" t="s">
        <v>94</v>
      </c>
      <c r="B290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 x14ac:dyDescent="0.3">
      <c r="A291" t="s">
        <v>94</v>
      </c>
      <c r="B291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 x14ac:dyDescent="0.3">
      <c r="A292" t="s">
        <v>94</v>
      </c>
      <c r="B29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 x14ac:dyDescent="0.3">
      <c r="A293" t="s">
        <v>94</v>
      </c>
      <c r="B29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 x14ac:dyDescent="0.3">
      <c r="A294" t="s">
        <v>95</v>
      </c>
      <c r="B294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 x14ac:dyDescent="0.3">
      <c r="A295" t="s">
        <v>95</v>
      </c>
      <c r="B295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 x14ac:dyDescent="0.3">
      <c r="A296" t="s">
        <v>95</v>
      </c>
      <c r="B296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 x14ac:dyDescent="0.3">
      <c r="A297" t="s">
        <v>95</v>
      </c>
      <c r="B297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 x14ac:dyDescent="0.3">
      <c r="A298" t="s">
        <v>96</v>
      </c>
      <c r="B298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 x14ac:dyDescent="0.3">
      <c r="A299" t="s">
        <v>96</v>
      </c>
      <c r="B299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 x14ac:dyDescent="0.3">
      <c r="A300" t="s">
        <v>96</v>
      </c>
      <c r="B300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 x14ac:dyDescent="0.3">
      <c r="A301" t="s">
        <v>96</v>
      </c>
      <c r="B301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 x14ac:dyDescent="0.3">
      <c r="A302" t="s">
        <v>97</v>
      </c>
      <c r="B30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 x14ac:dyDescent="0.3">
      <c r="A303" t="s">
        <v>97</v>
      </c>
      <c r="B30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 x14ac:dyDescent="0.3">
      <c r="A304" t="s">
        <v>97</v>
      </c>
      <c r="B304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 x14ac:dyDescent="0.3">
      <c r="A305" t="s">
        <v>97</v>
      </c>
      <c r="B305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 x14ac:dyDescent="0.3">
      <c r="A306" t="s">
        <v>98</v>
      </c>
      <c r="B306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 x14ac:dyDescent="0.3">
      <c r="A307" t="s">
        <v>98</v>
      </c>
      <c r="B307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 x14ac:dyDescent="0.3">
      <c r="A308" t="s">
        <v>98</v>
      </c>
      <c r="B308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 x14ac:dyDescent="0.3">
      <c r="A309" t="s">
        <v>98</v>
      </c>
      <c r="B309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 x14ac:dyDescent="0.3">
      <c r="A310" t="s">
        <v>99</v>
      </c>
      <c r="B310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 x14ac:dyDescent="0.3">
      <c r="A311" t="s">
        <v>99</v>
      </c>
      <c r="B311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 x14ac:dyDescent="0.3">
      <c r="A312" t="s">
        <v>99</v>
      </c>
      <c r="B31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 x14ac:dyDescent="0.3">
      <c r="A313" t="s">
        <v>99</v>
      </c>
      <c r="B31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 x14ac:dyDescent="0.3">
      <c r="A314" t="s">
        <v>100</v>
      </c>
      <c r="B314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 x14ac:dyDescent="0.3">
      <c r="A315" t="s">
        <v>100</v>
      </c>
      <c r="B315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 x14ac:dyDescent="0.3">
      <c r="A316" t="s">
        <v>100</v>
      </c>
      <c r="B316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 x14ac:dyDescent="0.3">
      <c r="A317" t="s">
        <v>100</v>
      </c>
      <c r="B317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 x14ac:dyDescent="0.3">
      <c r="A318" t="s">
        <v>101</v>
      </c>
      <c r="B318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 x14ac:dyDescent="0.3">
      <c r="A319" t="s">
        <v>101</v>
      </c>
      <c r="B319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 x14ac:dyDescent="0.3">
      <c r="A320" t="s">
        <v>101</v>
      </c>
      <c r="B320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 x14ac:dyDescent="0.3">
      <c r="A321" t="s">
        <v>101</v>
      </c>
      <c r="B321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1499-5D4B-4E98-AC99-833EFE7FD0CF}">
  <dimension ref="A1:AN323"/>
  <sheetViews>
    <sheetView topLeftCell="AH1" workbookViewId="0">
      <pane ySplit="1" topLeftCell="A296" activePane="bottomLeft" state="frozen"/>
      <selection pane="bottomLeft" activeCell="Y6" sqref="Y6"/>
    </sheetView>
  </sheetViews>
  <sheetFormatPr defaultRowHeight="14.4" x14ac:dyDescent="0.3"/>
  <cols>
    <col min="4" max="4" width="9.88671875" bestFit="1" customWidth="1"/>
    <col min="5" max="5" width="15" bestFit="1" customWidth="1"/>
    <col min="7" max="7" width="15.33203125" bestFit="1" customWidth="1"/>
    <col min="8" max="8" width="10.44140625" bestFit="1" customWidth="1"/>
    <col min="9" max="9" width="22.21875" bestFit="1" customWidth="1"/>
    <col min="10" max="10" width="21.6640625" bestFit="1" customWidth="1"/>
    <col min="11" max="11" width="10.88671875" bestFit="1" customWidth="1"/>
    <col min="12" max="12" width="14.44140625" bestFit="1" customWidth="1"/>
    <col min="13" max="13" width="12.6640625" bestFit="1" customWidth="1"/>
    <col min="14" max="14" width="13.33203125" bestFit="1" customWidth="1"/>
    <col min="15" max="15" width="12.21875" bestFit="1" customWidth="1"/>
    <col min="16" max="16" width="12.33203125" bestFit="1" customWidth="1"/>
    <col min="17" max="17" width="11.5546875" bestFit="1" customWidth="1"/>
    <col min="18" max="18" width="14.6640625" bestFit="1" customWidth="1"/>
    <col min="19" max="19" width="11.6640625" bestFit="1" customWidth="1"/>
    <col min="27" max="27" width="12.6640625" bestFit="1" customWidth="1"/>
    <col min="29" max="29" width="10.44140625" bestFit="1" customWidth="1"/>
    <col min="30" max="30" width="15" bestFit="1" customWidth="1"/>
    <col min="31" max="31" width="22.21875" bestFit="1" customWidth="1"/>
    <col min="32" max="32" width="15.33203125" bestFit="1" customWidth="1"/>
    <col min="33" max="33" width="14.44140625" bestFit="1" customWidth="1"/>
    <col min="34" max="34" width="10.88671875" bestFit="1" customWidth="1"/>
    <col min="35" max="35" width="12.21875" bestFit="1" customWidth="1"/>
    <col min="36" max="36" width="12.33203125" bestFit="1" customWidth="1"/>
    <col min="37" max="37" width="11.5546875" bestFit="1" customWidth="1"/>
    <col min="38" max="38" width="14.6640625" bestFit="1" customWidth="1"/>
    <col min="39" max="39" width="11.6640625" bestFit="1" customWidth="1"/>
  </cols>
  <sheetData>
    <row r="1" spans="1:4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AA1" s="1" t="s">
        <v>12</v>
      </c>
      <c r="AB1" s="1" t="s">
        <v>5</v>
      </c>
      <c r="AC1" s="1" t="s">
        <v>7</v>
      </c>
      <c r="AD1" s="1" t="s">
        <v>4</v>
      </c>
      <c r="AE1" s="1" t="s">
        <v>8</v>
      </c>
      <c r="AF1" s="1" t="s">
        <v>6</v>
      </c>
      <c r="AG1" s="1" t="s">
        <v>11</v>
      </c>
      <c r="AH1" s="1" t="s">
        <v>10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</row>
    <row r="2" spans="1:40" x14ac:dyDescent="0.3">
      <c r="A2" t="s">
        <v>14</v>
      </c>
      <c r="B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IF(M2="North",1,0)</f>
        <v>0</v>
      </c>
      <c r="P2">
        <f>IF(M2="South",1,0)</f>
        <v>0</v>
      </c>
      <c r="Q2">
        <f>IF(M2="West",1,0)</f>
        <v>0</v>
      </c>
      <c r="R2">
        <f>IF(N2="High Street",1,0)</f>
        <v>0</v>
      </c>
      <c r="S2">
        <f>IF(N2="Airport",1,0)</f>
        <v>0</v>
      </c>
      <c r="T2">
        <f>IF(N2="Mall",1,0)</f>
        <v>0</v>
      </c>
      <c r="AA2">
        <v>658832.62</v>
      </c>
      <c r="AB2">
        <v>8302</v>
      </c>
      <c r="AC2">
        <v>17</v>
      </c>
      <c r="AD2">
        <v>70389.11</v>
      </c>
      <c r="AE2">
        <v>75</v>
      </c>
      <c r="AF2">
        <v>4.2000000000000003E-2</v>
      </c>
      <c r="AG2">
        <v>3.1</v>
      </c>
      <c r="AH2">
        <v>1</v>
      </c>
      <c r="AI2">
        <f>IF(AG2="North",1,0)</f>
        <v>0</v>
      </c>
      <c r="AJ2">
        <f>IF(AG2="South",1,0)</f>
        <v>0</v>
      </c>
      <c r="AK2">
        <f>IF(AG2="West",1,0)</f>
        <v>0</v>
      </c>
      <c r="AL2">
        <f>IF(AH2="High Street",1,0)</f>
        <v>0</v>
      </c>
      <c r="AM2">
        <f>IF(AH2="Airport",1,0)</f>
        <v>0</v>
      </c>
      <c r="AN2">
        <f>IF(AH2="Mall",1,0)</f>
        <v>0</v>
      </c>
    </row>
    <row r="3" spans="1:40" x14ac:dyDescent="0.3">
      <c r="A3" t="s">
        <v>14</v>
      </c>
      <c r="B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IF(M3="North",1,0)</f>
        <v>0</v>
      </c>
      <c r="P3">
        <f t="shared" ref="P3:P66" si="1">IF(M3="South",1,0)</f>
        <v>0</v>
      </c>
      <c r="Q3">
        <f t="shared" ref="Q3:Q66" si="2">IF(M3="West",1,0)</f>
        <v>0</v>
      </c>
      <c r="R3">
        <f t="shared" ref="R3:R66" si="3">IF(N3="High Street",1,0)</f>
        <v>0</v>
      </c>
      <c r="S3">
        <f t="shared" ref="S3:S66" si="4">IF(N3="Airport",1,0)</f>
        <v>0</v>
      </c>
      <c r="T3">
        <f t="shared" ref="T3:T66" si="5">IF(N3="Mall",1,0)</f>
        <v>0</v>
      </c>
      <c r="AA3">
        <v>634436</v>
      </c>
      <c r="AB3">
        <v>8487</v>
      </c>
      <c r="AC3">
        <v>23</v>
      </c>
      <c r="AD3">
        <v>43827.89</v>
      </c>
      <c r="AE3">
        <v>84.4</v>
      </c>
      <c r="AF3">
        <v>0.16800000000000001</v>
      </c>
      <c r="AG3">
        <v>2.8</v>
      </c>
      <c r="AH3">
        <v>0</v>
      </c>
      <c r="AI3">
        <f t="shared" ref="AI3:AI66" si="6">IF(AG3="North",1,0)</f>
        <v>0</v>
      </c>
      <c r="AJ3">
        <f t="shared" ref="AJ3:AJ66" si="7">IF(AG3="South",1,0)</f>
        <v>0</v>
      </c>
      <c r="AK3">
        <f t="shared" ref="AK3:AK66" si="8">IF(AG3="West",1,0)</f>
        <v>0</v>
      </c>
      <c r="AL3">
        <f t="shared" ref="AL3:AL66" si="9">IF(AH3="High Street",1,0)</f>
        <v>0</v>
      </c>
      <c r="AM3">
        <f t="shared" ref="AM3:AM66" si="10">IF(AH3="Airport",1,0)</f>
        <v>0</v>
      </c>
      <c r="AN3">
        <f t="shared" ref="AN3:AN66" si="11">IF(AH3="Mall",1,0)</f>
        <v>0</v>
      </c>
    </row>
    <row r="4" spans="1:40" x14ac:dyDescent="0.3">
      <c r="A4" t="s">
        <v>14</v>
      </c>
      <c r="B4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0</v>
      </c>
      <c r="P4">
        <f t="shared" si="1"/>
        <v>0</v>
      </c>
      <c r="Q4">
        <f t="shared" si="2"/>
        <v>0</v>
      </c>
      <c r="R4">
        <f t="shared" si="3"/>
        <v>0</v>
      </c>
      <c r="S4">
        <f t="shared" si="4"/>
        <v>0</v>
      </c>
      <c r="T4">
        <f t="shared" si="5"/>
        <v>0</v>
      </c>
      <c r="AA4">
        <v>678722.06</v>
      </c>
      <c r="AB4">
        <v>9113</v>
      </c>
      <c r="AC4">
        <v>20</v>
      </c>
      <c r="AD4">
        <v>59921.75</v>
      </c>
      <c r="AE4">
        <v>88</v>
      </c>
      <c r="AF4">
        <v>0.13300000000000001</v>
      </c>
      <c r="AG4">
        <v>3.2</v>
      </c>
      <c r="AH4">
        <v>0</v>
      </c>
      <c r="AI4">
        <f t="shared" si="6"/>
        <v>0</v>
      </c>
      <c r="AJ4">
        <f t="shared" si="7"/>
        <v>0</v>
      </c>
      <c r="AK4">
        <f t="shared" si="8"/>
        <v>0</v>
      </c>
      <c r="AL4">
        <f t="shared" si="9"/>
        <v>0</v>
      </c>
      <c r="AM4">
        <f t="shared" si="10"/>
        <v>0</v>
      </c>
      <c r="AN4">
        <f t="shared" si="11"/>
        <v>0</v>
      </c>
    </row>
    <row r="5" spans="1:40" x14ac:dyDescent="0.3">
      <c r="A5" t="s">
        <v>14</v>
      </c>
      <c r="B5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0</v>
      </c>
      <c r="P5">
        <f t="shared" si="1"/>
        <v>0</v>
      </c>
      <c r="Q5">
        <f t="shared" si="2"/>
        <v>0</v>
      </c>
      <c r="R5">
        <f t="shared" si="3"/>
        <v>0</v>
      </c>
      <c r="S5">
        <f t="shared" si="4"/>
        <v>0</v>
      </c>
      <c r="T5">
        <f t="shared" si="5"/>
        <v>0</v>
      </c>
      <c r="AA5">
        <v>658920.30000000005</v>
      </c>
      <c r="AB5">
        <v>9431</v>
      </c>
      <c r="AC5">
        <v>23</v>
      </c>
      <c r="AD5">
        <v>56856.63</v>
      </c>
      <c r="AE5">
        <v>86.9</v>
      </c>
      <c r="AF5">
        <v>0.14199999999999999</v>
      </c>
      <c r="AG5">
        <v>3.4</v>
      </c>
      <c r="AH5">
        <v>0</v>
      </c>
      <c r="AI5">
        <f t="shared" si="6"/>
        <v>0</v>
      </c>
      <c r="AJ5">
        <f t="shared" si="7"/>
        <v>0</v>
      </c>
      <c r="AK5">
        <f t="shared" si="8"/>
        <v>0</v>
      </c>
      <c r="AL5">
        <f t="shared" si="9"/>
        <v>0</v>
      </c>
      <c r="AM5">
        <f t="shared" si="10"/>
        <v>0</v>
      </c>
      <c r="AN5">
        <f t="shared" si="11"/>
        <v>0</v>
      </c>
    </row>
    <row r="6" spans="1:40" x14ac:dyDescent="0.3">
      <c r="A6" t="s">
        <v>17</v>
      </c>
      <c r="B6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0</v>
      </c>
      <c r="P6">
        <f t="shared" si="1"/>
        <v>0</v>
      </c>
      <c r="Q6">
        <f t="shared" si="2"/>
        <v>0</v>
      </c>
      <c r="R6">
        <f t="shared" si="3"/>
        <v>0</v>
      </c>
      <c r="S6">
        <f t="shared" si="4"/>
        <v>0</v>
      </c>
      <c r="T6">
        <f t="shared" si="5"/>
        <v>0</v>
      </c>
      <c r="AA6">
        <v>741341.44</v>
      </c>
      <c r="AB6">
        <v>9545</v>
      </c>
      <c r="AC6">
        <v>21</v>
      </c>
      <c r="AD6">
        <v>48412.639999999999</v>
      </c>
      <c r="AE6">
        <v>97.6</v>
      </c>
      <c r="AF6">
        <v>0.23100000000000001</v>
      </c>
      <c r="AG6">
        <v>4.2</v>
      </c>
      <c r="AH6">
        <v>1</v>
      </c>
      <c r="AI6">
        <f t="shared" si="6"/>
        <v>0</v>
      </c>
      <c r="AJ6">
        <f t="shared" si="7"/>
        <v>0</v>
      </c>
      <c r="AK6">
        <f t="shared" si="8"/>
        <v>0</v>
      </c>
      <c r="AL6">
        <f t="shared" si="9"/>
        <v>0</v>
      </c>
      <c r="AM6">
        <f t="shared" si="10"/>
        <v>0</v>
      </c>
      <c r="AN6">
        <f t="shared" si="11"/>
        <v>0</v>
      </c>
    </row>
    <row r="7" spans="1:40" x14ac:dyDescent="0.3">
      <c r="A7" t="s">
        <v>17</v>
      </c>
      <c r="B7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0</v>
      </c>
      <c r="P7">
        <f t="shared" si="1"/>
        <v>0</v>
      </c>
      <c r="Q7">
        <f t="shared" si="2"/>
        <v>0</v>
      </c>
      <c r="R7">
        <f t="shared" si="3"/>
        <v>0</v>
      </c>
      <c r="S7">
        <f t="shared" si="4"/>
        <v>0</v>
      </c>
      <c r="T7">
        <f t="shared" si="5"/>
        <v>0</v>
      </c>
      <c r="AA7">
        <v>761835.34</v>
      </c>
      <c r="AB7">
        <v>9792</v>
      </c>
      <c r="AC7">
        <v>20</v>
      </c>
      <c r="AD7">
        <v>64811.21</v>
      </c>
      <c r="AE7">
        <v>84.2</v>
      </c>
      <c r="AF7">
        <v>0.112</v>
      </c>
      <c r="AG7">
        <v>4.2</v>
      </c>
      <c r="AH7">
        <v>0</v>
      </c>
      <c r="AI7">
        <f t="shared" si="6"/>
        <v>0</v>
      </c>
      <c r="AJ7">
        <f t="shared" si="7"/>
        <v>0</v>
      </c>
      <c r="AK7">
        <f t="shared" si="8"/>
        <v>0</v>
      </c>
      <c r="AL7">
        <f t="shared" si="9"/>
        <v>0</v>
      </c>
      <c r="AM7">
        <f t="shared" si="10"/>
        <v>0</v>
      </c>
      <c r="AN7">
        <f t="shared" si="11"/>
        <v>0</v>
      </c>
    </row>
    <row r="8" spans="1:40" x14ac:dyDescent="0.3">
      <c r="A8" t="s">
        <v>17</v>
      </c>
      <c r="B8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0</v>
      </c>
      <c r="P8">
        <f t="shared" si="1"/>
        <v>0</v>
      </c>
      <c r="Q8">
        <f t="shared" si="2"/>
        <v>0</v>
      </c>
      <c r="R8">
        <f t="shared" si="3"/>
        <v>0</v>
      </c>
      <c r="S8">
        <f t="shared" si="4"/>
        <v>0</v>
      </c>
      <c r="T8">
        <f t="shared" si="5"/>
        <v>0</v>
      </c>
      <c r="AA8">
        <v>806615.54</v>
      </c>
      <c r="AB8">
        <v>10616</v>
      </c>
      <c r="AC8">
        <v>22</v>
      </c>
      <c r="AD8">
        <v>46213.45</v>
      </c>
      <c r="AE8">
        <v>85.2</v>
      </c>
      <c r="AF8">
        <v>0.122</v>
      </c>
      <c r="AG8">
        <v>4.0999999999999996</v>
      </c>
      <c r="AH8">
        <v>1</v>
      </c>
      <c r="AI8">
        <f t="shared" si="6"/>
        <v>0</v>
      </c>
      <c r="AJ8">
        <f t="shared" si="7"/>
        <v>0</v>
      </c>
      <c r="AK8">
        <f t="shared" si="8"/>
        <v>0</v>
      </c>
      <c r="AL8">
        <f t="shared" si="9"/>
        <v>0</v>
      </c>
      <c r="AM8">
        <f t="shared" si="10"/>
        <v>0</v>
      </c>
      <c r="AN8">
        <f t="shared" si="11"/>
        <v>0</v>
      </c>
    </row>
    <row r="9" spans="1:40" x14ac:dyDescent="0.3">
      <c r="A9" t="s">
        <v>17</v>
      </c>
      <c r="B9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0</v>
      </c>
      <c r="P9">
        <f t="shared" si="1"/>
        <v>0</v>
      </c>
      <c r="Q9">
        <f t="shared" si="2"/>
        <v>0</v>
      </c>
      <c r="R9">
        <f t="shared" si="3"/>
        <v>0</v>
      </c>
      <c r="S9">
        <f t="shared" si="4"/>
        <v>0</v>
      </c>
      <c r="T9">
        <f t="shared" si="5"/>
        <v>0</v>
      </c>
      <c r="AA9">
        <v>850164.26</v>
      </c>
      <c r="AB9">
        <v>8567</v>
      </c>
      <c r="AC9">
        <v>23</v>
      </c>
      <c r="AD9">
        <v>68148.52</v>
      </c>
      <c r="AE9">
        <v>95.6</v>
      </c>
      <c r="AF9">
        <v>0.127</v>
      </c>
      <c r="AG9">
        <v>3.9</v>
      </c>
      <c r="AH9">
        <v>0</v>
      </c>
      <c r="AI9">
        <f t="shared" si="6"/>
        <v>0</v>
      </c>
      <c r="AJ9">
        <f t="shared" si="7"/>
        <v>0</v>
      </c>
      <c r="AK9">
        <f t="shared" si="8"/>
        <v>0</v>
      </c>
      <c r="AL9">
        <f t="shared" si="9"/>
        <v>0</v>
      </c>
      <c r="AM9">
        <f t="shared" si="10"/>
        <v>0</v>
      </c>
      <c r="AN9">
        <f t="shared" si="11"/>
        <v>0</v>
      </c>
    </row>
    <row r="10" spans="1:40" x14ac:dyDescent="0.3">
      <c r="A10" t="s">
        <v>19</v>
      </c>
      <c r="B10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0</v>
      </c>
      <c r="P10">
        <f t="shared" si="1"/>
        <v>0</v>
      </c>
      <c r="Q10">
        <f t="shared" si="2"/>
        <v>0</v>
      </c>
      <c r="R10">
        <f t="shared" si="3"/>
        <v>0</v>
      </c>
      <c r="S10">
        <f t="shared" si="4"/>
        <v>0</v>
      </c>
      <c r="T10">
        <f t="shared" si="5"/>
        <v>0</v>
      </c>
      <c r="AA10">
        <v>930581.7</v>
      </c>
      <c r="AB10">
        <v>10979</v>
      </c>
      <c r="AC10">
        <v>26</v>
      </c>
      <c r="AD10">
        <v>71838.86</v>
      </c>
      <c r="AE10">
        <v>88.6</v>
      </c>
      <c r="AF10">
        <v>0.215</v>
      </c>
      <c r="AG10">
        <v>3.8</v>
      </c>
      <c r="AH10">
        <v>1</v>
      </c>
      <c r="AI10">
        <f t="shared" si="6"/>
        <v>0</v>
      </c>
      <c r="AJ10">
        <f t="shared" si="7"/>
        <v>0</v>
      </c>
      <c r="AK10">
        <f t="shared" si="8"/>
        <v>0</v>
      </c>
      <c r="AL10">
        <f t="shared" si="9"/>
        <v>0</v>
      </c>
      <c r="AM10">
        <f t="shared" si="10"/>
        <v>0</v>
      </c>
      <c r="AN10">
        <f t="shared" si="11"/>
        <v>0</v>
      </c>
    </row>
    <row r="11" spans="1:40" x14ac:dyDescent="0.3">
      <c r="A11" t="s">
        <v>19</v>
      </c>
      <c r="B11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0</v>
      </c>
      <c r="P11">
        <f t="shared" si="1"/>
        <v>0</v>
      </c>
      <c r="Q11">
        <f t="shared" si="2"/>
        <v>0</v>
      </c>
      <c r="R11">
        <f t="shared" si="3"/>
        <v>0</v>
      </c>
      <c r="S11">
        <f t="shared" si="4"/>
        <v>0</v>
      </c>
      <c r="T11">
        <f t="shared" si="5"/>
        <v>0</v>
      </c>
      <c r="AA11">
        <v>779010.94</v>
      </c>
      <c r="AB11">
        <v>9459</v>
      </c>
      <c r="AC11">
        <v>21</v>
      </c>
      <c r="AD11">
        <v>68133.440000000002</v>
      </c>
      <c r="AE11">
        <v>85</v>
      </c>
      <c r="AF11">
        <v>0.22</v>
      </c>
      <c r="AG11">
        <v>4.2</v>
      </c>
      <c r="AH11">
        <v>0</v>
      </c>
      <c r="AI11">
        <f t="shared" si="6"/>
        <v>0</v>
      </c>
      <c r="AJ11">
        <f t="shared" si="7"/>
        <v>0</v>
      </c>
      <c r="AK11">
        <f t="shared" si="8"/>
        <v>0</v>
      </c>
      <c r="AL11">
        <f t="shared" si="9"/>
        <v>0</v>
      </c>
      <c r="AM11">
        <f t="shared" si="10"/>
        <v>0</v>
      </c>
      <c r="AN11">
        <f t="shared" si="11"/>
        <v>0</v>
      </c>
    </row>
    <row r="12" spans="1:40" x14ac:dyDescent="0.3">
      <c r="A12" t="s">
        <v>19</v>
      </c>
      <c r="B1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0</v>
      </c>
      <c r="P12">
        <f t="shared" si="1"/>
        <v>0</v>
      </c>
      <c r="Q12">
        <f t="shared" si="2"/>
        <v>0</v>
      </c>
      <c r="R12">
        <f t="shared" si="3"/>
        <v>0</v>
      </c>
      <c r="S12">
        <f t="shared" si="4"/>
        <v>0</v>
      </c>
      <c r="T12">
        <f t="shared" si="5"/>
        <v>0</v>
      </c>
      <c r="AA12">
        <v>723060.76</v>
      </c>
      <c r="AB12">
        <v>9172</v>
      </c>
      <c r="AC12">
        <v>22</v>
      </c>
      <c r="AD12">
        <v>34285.21</v>
      </c>
      <c r="AE12">
        <v>88.3</v>
      </c>
      <c r="AF12">
        <v>0.21299999999999999</v>
      </c>
      <c r="AG12">
        <v>3.8</v>
      </c>
      <c r="AH12">
        <v>1</v>
      </c>
      <c r="AI12">
        <f t="shared" si="6"/>
        <v>0</v>
      </c>
      <c r="AJ12">
        <f t="shared" si="7"/>
        <v>0</v>
      </c>
      <c r="AK12">
        <f t="shared" si="8"/>
        <v>0</v>
      </c>
      <c r="AL12">
        <f t="shared" si="9"/>
        <v>0</v>
      </c>
      <c r="AM12">
        <f t="shared" si="10"/>
        <v>0</v>
      </c>
      <c r="AN12">
        <f t="shared" si="11"/>
        <v>0</v>
      </c>
    </row>
    <row r="13" spans="1:40" x14ac:dyDescent="0.3">
      <c r="A13" t="s">
        <v>19</v>
      </c>
      <c r="B1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0</v>
      </c>
      <c r="P13">
        <f t="shared" si="1"/>
        <v>0</v>
      </c>
      <c r="Q13">
        <f t="shared" si="2"/>
        <v>0</v>
      </c>
      <c r="R13">
        <f t="shared" si="3"/>
        <v>0</v>
      </c>
      <c r="S13">
        <f t="shared" si="4"/>
        <v>0</v>
      </c>
      <c r="T13">
        <f t="shared" si="5"/>
        <v>0</v>
      </c>
      <c r="AA13">
        <v>910791.94</v>
      </c>
      <c r="AB13">
        <v>11230</v>
      </c>
      <c r="AC13">
        <v>28</v>
      </c>
      <c r="AD13">
        <v>67979.88</v>
      </c>
      <c r="AE13">
        <v>85.3</v>
      </c>
      <c r="AF13">
        <v>2E-3</v>
      </c>
      <c r="AG13">
        <v>3.8</v>
      </c>
      <c r="AH13">
        <v>0</v>
      </c>
      <c r="AI13">
        <f t="shared" si="6"/>
        <v>0</v>
      </c>
      <c r="AJ13">
        <f t="shared" si="7"/>
        <v>0</v>
      </c>
      <c r="AK13">
        <f t="shared" si="8"/>
        <v>0</v>
      </c>
      <c r="AL13">
        <f t="shared" si="9"/>
        <v>0</v>
      </c>
      <c r="AM13">
        <f t="shared" si="10"/>
        <v>0</v>
      </c>
      <c r="AN13">
        <f t="shared" si="11"/>
        <v>0</v>
      </c>
    </row>
    <row r="14" spans="1:40" x14ac:dyDescent="0.3">
      <c r="A14" t="s">
        <v>22</v>
      </c>
      <c r="B14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3"/>
        <v>0</v>
      </c>
      <c r="S14">
        <f t="shared" si="4"/>
        <v>0</v>
      </c>
      <c r="T14">
        <f t="shared" si="5"/>
        <v>0</v>
      </c>
      <c r="AA14">
        <v>922168.6</v>
      </c>
      <c r="AB14">
        <v>12775</v>
      </c>
      <c r="AC14">
        <v>30</v>
      </c>
      <c r="AD14">
        <v>71828.259999999995</v>
      </c>
      <c r="AE14">
        <v>81.7</v>
      </c>
      <c r="AF14">
        <v>0.11600000000000001</v>
      </c>
      <c r="AG14">
        <v>4.2</v>
      </c>
      <c r="AH14">
        <v>1</v>
      </c>
      <c r="AI14">
        <f t="shared" si="6"/>
        <v>0</v>
      </c>
      <c r="AJ14">
        <f t="shared" si="7"/>
        <v>0</v>
      </c>
      <c r="AK14">
        <f t="shared" si="8"/>
        <v>0</v>
      </c>
      <c r="AL14">
        <f t="shared" si="9"/>
        <v>0</v>
      </c>
      <c r="AM14">
        <f t="shared" si="10"/>
        <v>0</v>
      </c>
      <c r="AN14">
        <f t="shared" si="11"/>
        <v>0</v>
      </c>
    </row>
    <row r="15" spans="1:40" x14ac:dyDescent="0.3">
      <c r="A15" t="s">
        <v>22</v>
      </c>
      <c r="B15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0</v>
      </c>
      <c r="P15">
        <f t="shared" si="1"/>
        <v>0</v>
      </c>
      <c r="Q15">
        <f t="shared" si="2"/>
        <v>0</v>
      </c>
      <c r="R15">
        <f t="shared" si="3"/>
        <v>0</v>
      </c>
      <c r="S15">
        <f t="shared" si="4"/>
        <v>0</v>
      </c>
      <c r="T15">
        <f t="shared" si="5"/>
        <v>0</v>
      </c>
      <c r="AA15">
        <v>726606.28</v>
      </c>
      <c r="AB15">
        <v>10054</v>
      </c>
      <c r="AC15">
        <v>24</v>
      </c>
      <c r="AD15">
        <v>55716.82</v>
      </c>
      <c r="AE15">
        <v>84.9</v>
      </c>
      <c r="AF15">
        <v>0.14599999999999999</v>
      </c>
      <c r="AG15">
        <v>4.3</v>
      </c>
      <c r="AH15">
        <v>0</v>
      </c>
      <c r="AI15">
        <f t="shared" si="6"/>
        <v>0</v>
      </c>
      <c r="AJ15">
        <f t="shared" si="7"/>
        <v>0</v>
      </c>
      <c r="AK15">
        <f t="shared" si="8"/>
        <v>0</v>
      </c>
      <c r="AL15">
        <f t="shared" si="9"/>
        <v>0</v>
      </c>
      <c r="AM15">
        <f t="shared" si="10"/>
        <v>0</v>
      </c>
      <c r="AN15">
        <f t="shared" si="11"/>
        <v>0</v>
      </c>
    </row>
    <row r="16" spans="1:40" x14ac:dyDescent="0.3">
      <c r="A16" t="s">
        <v>22</v>
      </c>
      <c r="B16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0</v>
      </c>
      <c r="P16">
        <f t="shared" si="1"/>
        <v>0</v>
      </c>
      <c r="Q16">
        <f t="shared" si="2"/>
        <v>0</v>
      </c>
      <c r="R16">
        <f t="shared" si="3"/>
        <v>0</v>
      </c>
      <c r="S16">
        <f t="shared" si="4"/>
        <v>0</v>
      </c>
      <c r="T16">
        <f t="shared" si="5"/>
        <v>0</v>
      </c>
      <c r="AA16">
        <v>746501.09</v>
      </c>
      <c r="AB16">
        <v>8895</v>
      </c>
      <c r="AC16">
        <v>23</v>
      </c>
      <c r="AD16">
        <v>59909.51</v>
      </c>
      <c r="AE16">
        <v>88.8</v>
      </c>
      <c r="AF16">
        <v>0.22800000000000001</v>
      </c>
      <c r="AG16">
        <v>4.3</v>
      </c>
      <c r="AH16">
        <v>0</v>
      </c>
      <c r="AI16">
        <f t="shared" si="6"/>
        <v>0</v>
      </c>
      <c r="AJ16">
        <f t="shared" si="7"/>
        <v>0</v>
      </c>
      <c r="AK16">
        <f t="shared" si="8"/>
        <v>0</v>
      </c>
      <c r="AL16">
        <f t="shared" si="9"/>
        <v>0</v>
      </c>
      <c r="AM16">
        <f t="shared" si="10"/>
        <v>0</v>
      </c>
      <c r="AN16">
        <f t="shared" si="11"/>
        <v>0</v>
      </c>
    </row>
    <row r="17" spans="1:40" x14ac:dyDescent="0.3">
      <c r="A17" t="s">
        <v>22</v>
      </c>
      <c r="B17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0</v>
      </c>
      <c r="P17">
        <f t="shared" si="1"/>
        <v>0</v>
      </c>
      <c r="Q17">
        <f t="shared" si="2"/>
        <v>0</v>
      </c>
      <c r="R17">
        <f t="shared" si="3"/>
        <v>0</v>
      </c>
      <c r="S17">
        <f t="shared" si="4"/>
        <v>0</v>
      </c>
      <c r="T17">
        <f t="shared" si="5"/>
        <v>0</v>
      </c>
      <c r="AA17">
        <v>834017.02</v>
      </c>
      <c r="AB17">
        <v>10940</v>
      </c>
      <c r="AC17">
        <v>26</v>
      </c>
      <c r="AD17">
        <v>75305.710000000006</v>
      </c>
      <c r="AE17">
        <v>76.5</v>
      </c>
      <c r="AF17">
        <v>6.0000000000000001E-3</v>
      </c>
      <c r="AG17">
        <v>4.5</v>
      </c>
      <c r="AH17">
        <v>0</v>
      </c>
      <c r="AI17">
        <f t="shared" si="6"/>
        <v>0</v>
      </c>
      <c r="AJ17">
        <f t="shared" si="7"/>
        <v>0</v>
      </c>
      <c r="AK17">
        <f t="shared" si="8"/>
        <v>0</v>
      </c>
      <c r="AL17">
        <f t="shared" si="9"/>
        <v>0</v>
      </c>
      <c r="AM17">
        <f t="shared" si="10"/>
        <v>0</v>
      </c>
      <c r="AN17">
        <f t="shared" si="11"/>
        <v>0</v>
      </c>
    </row>
    <row r="18" spans="1:40" x14ac:dyDescent="0.3">
      <c r="A18" t="s">
        <v>23</v>
      </c>
      <c r="B18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0</v>
      </c>
      <c r="P18">
        <f t="shared" si="1"/>
        <v>0</v>
      </c>
      <c r="Q18">
        <f t="shared" si="2"/>
        <v>0</v>
      </c>
      <c r="R18">
        <f t="shared" si="3"/>
        <v>0</v>
      </c>
      <c r="S18">
        <f t="shared" si="4"/>
        <v>0</v>
      </c>
      <c r="T18">
        <f t="shared" si="5"/>
        <v>0</v>
      </c>
      <c r="AA18">
        <v>666152.52</v>
      </c>
      <c r="AB18">
        <v>7057</v>
      </c>
      <c r="AC18">
        <v>15</v>
      </c>
      <c r="AD18">
        <v>48804.22</v>
      </c>
      <c r="AE18">
        <v>87.7</v>
      </c>
      <c r="AF18">
        <v>5.0000000000000001E-3</v>
      </c>
      <c r="AG18">
        <v>3.7</v>
      </c>
      <c r="AH18">
        <v>0</v>
      </c>
      <c r="AI18">
        <f t="shared" si="6"/>
        <v>0</v>
      </c>
      <c r="AJ18">
        <f t="shared" si="7"/>
        <v>0</v>
      </c>
      <c r="AK18">
        <f t="shared" si="8"/>
        <v>0</v>
      </c>
      <c r="AL18">
        <f t="shared" si="9"/>
        <v>0</v>
      </c>
      <c r="AM18">
        <f t="shared" si="10"/>
        <v>0</v>
      </c>
      <c r="AN18">
        <f t="shared" si="11"/>
        <v>0</v>
      </c>
    </row>
    <row r="19" spans="1:40" x14ac:dyDescent="0.3">
      <c r="A19" t="s">
        <v>23</v>
      </c>
      <c r="B19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0</v>
      </c>
      <c r="P19">
        <f t="shared" si="1"/>
        <v>0</v>
      </c>
      <c r="Q19">
        <f t="shared" si="2"/>
        <v>0</v>
      </c>
      <c r="R19">
        <f t="shared" si="3"/>
        <v>0</v>
      </c>
      <c r="S19">
        <f t="shared" si="4"/>
        <v>0</v>
      </c>
      <c r="T19">
        <f t="shared" si="5"/>
        <v>0</v>
      </c>
      <c r="AA19">
        <v>573155.18999999994</v>
      </c>
      <c r="AB19">
        <v>4263</v>
      </c>
      <c r="AC19">
        <v>9</v>
      </c>
      <c r="AD19">
        <v>59117.9</v>
      </c>
      <c r="AE19">
        <v>87.6</v>
      </c>
      <c r="AF19">
        <v>0.11899999999999999</v>
      </c>
      <c r="AG19">
        <v>3.6</v>
      </c>
      <c r="AH19">
        <v>0</v>
      </c>
      <c r="AI19">
        <f t="shared" si="6"/>
        <v>0</v>
      </c>
      <c r="AJ19">
        <f t="shared" si="7"/>
        <v>0</v>
      </c>
      <c r="AK19">
        <f t="shared" si="8"/>
        <v>0</v>
      </c>
      <c r="AL19">
        <f t="shared" si="9"/>
        <v>0</v>
      </c>
      <c r="AM19">
        <f t="shared" si="10"/>
        <v>0</v>
      </c>
      <c r="AN19">
        <f t="shared" si="11"/>
        <v>0</v>
      </c>
    </row>
    <row r="20" spans="1:40" x14ac:dyDescent="0.3">
      <c r="A20" t="s">
        <v>23</v>
      </c>
      <c r="B20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0</v>
      </c>
      <c r="P20">
        <f t="shared" si="1"/>
        <v>0</v>
      </c>
      <c r="Q20">
        <f t="shared" si="2"/>
        <v>0</v>
      </c>
      <c r="R20">
        <f t="shared" si="3"/>
        <v>0</v>
      </c>
      <c r="S20">
        <f t="shared" si="4"/>
        <v>0</v>
      </c>
      <c r="T20">
        <f t="shared" si="5"/>
        <v>0</v>
      </c>
      <c r="AA20">
        <v>666573.19999999995</v>
      </c>
      <c r="AB20">
        <v>5538</v>
      </c>
      <c r="AC20">
        <v>15</v>
      </c>
      <c r="AD20">
        <v>78831.12</v>
      </c>
      <c r="AE20">
        <v>94.1</v>
      </c>
      <c r="AF20">
        <v>0</v>
      </c>
      <c r="AG20">
        <v>3.9</v>
      </c>
      <c r="AH20">
        <v>0</v>
      </c>
      <c r="AI20">
        <f t="shared" si="6"/>
        <v>0</v>
      </c>
      <c r="AJ20">
        <f t="shared" si="7"/>
        <v>0</v>
      </c>
      <c r="AK20">
        <f t="shared" si="8"/>
        <v>0</v>
      </c>
      <c r="AL20">
        <f t="shared" si="9"/>
        <v>0</v>
      </c>
      <c r="AM20">
        <f t="shared" si="10"/>
        <v>0</v>
      </c>
      <c r="AN20">
        <f t="shared" si="11"/>
        <v>0</v>
      </c>
    </row>
    <row r="21" spans="1:40" x14ac:dyDescent="0.3">
      <c r="A21" t="s">
        <v>23</v>
      </c>
      <c r="B21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0</v>
      </c>
      <c r="P21">
        <f t="shared" si="1"/>
        <v>0</v>
      </c>
      <c r="Q21">
        <f t="shared" si="2"/>
        <v>0</v>
      </c>
      <c r="R21">
        <f t="shared" si="3"/>
        <v>0</v>
      </c>
      <c r="S21">
        <f t="shared" si="4"/>
        <v>0</v>
      </c>
      <c r="T21">
        <f t="shared" si="5"/>
        <v>0</v>
      </c>
      <c r="AA21">
        <v>591619.94999999995</v>
      </c>
      <c r="AB21">
        <v>4865</v>
      </c>
      <c r="AC21">
        <v>16</v>
      </c>
      <c r="AD21">
        <v>41441.93</v>
      </c>
      <c r="AE21">
        <v>88.3</v>
      </c>
      <c r="AF21">
        <v>0.158</v>
      </c>
      <c r="AG21">
        <v>4</v>
      </c>
      <c r="AH21">
        <v>0</v>
      </c>
      <c r="AI21">
        <f t="shared" si="6"/>
        <v>0</v>
      </c>
      <c r="AJ21">
        <f t="shared" si="7"/>
        <v>0</v>
      </c>
      <c r="AK21">
        <f t="shared" si="8"/>
        <v>0</v>
      </c>
      <c r="AL21">
        <f t="shared" si="9"/>
        <v>0</v>
      </c>
      <c r="AM21">
        <f t="shared" si="10"/>
        <v>0</v>
      </c>
      <c r="AN21">
        <f t="shared" si="11"/>
        <v>0</v>
      </c>
    </row>
    <row r="22" spans="1:40" x14ac:dyDescent="0.3">
      <c r="A22" t="s">
        <v>25</v>
      </c>
      <c r="B2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0</v>
      </c>
      <c r="P22">
        <f t="shared" si="1"/>
        <v>0</v>
      </c>
      <c r="Q22">
        <f t="shared" si="2"/>
        <v>0</v>
      </c>
      <c r="R22">
        <f t="shared" si="3"/>
        <v>0</v>
      </c>
      <c r="S22">
        <f t="shared" si="4"/>
        <v>0</v>
      </c>
      <c r="T22">
        <f t="shared" si="5"/>
        <v>0</v>
      </c>
      <c r="AA22">
        <v>415721.82</v>
      </c>
      <c r="AB22">
        <v>2822</v>
      </c>
      <c r="AC22">
        <v>9</v>
      </c>
      <c r="AD22">
        <v>30356.28</v>
      </c>
      <c r="AE22">
        <v>84.8</v>
      </c>
      <c r="AF22">
        <v>0.23100000000000001</v>
      </c>
      <c r="AG22">
        <v>5</v>
      </c>
      <c r="AH22">
        <v>0</v>
      </c>
      <c r="AI22">
        <f t="shared" si="6"/>
        <v>0</v>
      </c>
      <c r="AJ22">
        <f t="shared" si="7"/>
        <v>0</v>
      </c>
      <c r="AK22">
        <f t="shared" si="8"/>
        <v>0</v>
      </c>
      <c r="AL22">
        <f t="shared" si="9"/>
        <v>0</v>
      </c>
      <c r="AM22">
        <f t="shared" si="10"/>
        <v>0</v>
      </c>
      <c r="AN22">
        <f t="shared" si="11"/>
        <v>0</v>
      </c>
    </row>
    <row r="23" spans="1:40" x14ac:dyDescent="0.3">
      <c r="A23" t="s">
        <v>25</v>
      </c>
      <c r="B2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0</v>
      </c>
      <c r="P23">
        <f t="shared" si="1"/>
        <v>0</v>
      </c>
      <c r="Q23">
        <f t="shared" si="2"/>
        <v>0</v>
      </c>
      <c r="R23">
        <f t="shared" si="3"/>
        <v>0</v>
      </c>
      <c r="S23">
        <f t="shared" si="4"/>
        <v>0</v>
      </c>
      <c r="T23">
        <f t="shared" si="5"/>
        <v>0</v>
      </c>
      <c r="AA23">
        <v>491905.13</v>
      </c>
      <c r="AB23">
        <v>2121</v>
      </c>
      <c r="AC23">
        <v>8</v>
      </c>
      <c r="AD23">
        <v>33518.879999999997</v>
      </c>
      <c r="AE23">
        <v>88.5</v>
      </c>
      <c r="AF23">
        <v>0.17599999999999999</v>
      </c>
      <c r="AG23">
        <v>5</v>
      </c>
      <c r="AH23">
        <v>0</v>
      </c>
      <c r="AI23">
        <f t="shared" si="6"/>
        <v>0</v>
      </c>
      <c r="AJ23">
        <f t="shared" si="7"/>
        <v>0</v>
      </c>
      <c r="AK23">
        <f t="shared" si="8"/>
        <v>0</v>
      </c>
      <c r="AL23">
        <f t="shared" si="9"/>
        <v>0</v>
      </c>
      <c r="AM23">
        <f t="shared" si="10"/>
        <v>0</v>
      </c>
      <c r="AN23">
        <f t="shared" si="11"/>
        <v>0</v>
      </c>
    </row>
    <row r="24" spans="1:40" x14ac:dyDescent="0.3">
      <c r="A24" t="s">
        <v>25</v>
      </c>
      <c r="B24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0</v>
      </c>
      <c r="P24">
        <f t="shared" si="1"/>
        <v>0</v>
      </c>
      <c r="Q24">
        <f t="shared" si="2"/>
        <v>0</v>
      </c>
      <c r="R24">
        <f t="shared" si="3"/>
        <v>0</v>
      </c>
      <c r="S24">
        <f t="shared" si="4"/>
        <v>0</v>
      </c>
      <c r="T24">
        <f t="shared" si="5"/>
        <v>0</v>
      </c>
      <c r="AA24">
        <v>555929.4</v>
      </c>
      <c r="AB24">
        <v>3364</v>
      </c>
      <c r="AC24">
        <v>13</v>
      </c>
      <c r="AD24">
        <v>42267.37</v>
      </c>
      <c r="AE24">
        <v>82</v>
      </c>
      <c r="AF24">
        <v>0.16</v>
      </c>
      <c r="AG24">
        <v>4.5999999999999996</v>
      </c>
      <c r="AH24">
        <v>1</v>
      </c>
      <c r="AI24">
        <f t="shared" si="6"/>
        <v>0</v>
      </c>
      <c r="AJ24">
        <f t="shared" si="7"/>
        <v>0</v>
      </c>
      <c r="AK24">
        <f t="shared" si="8"/>
        <v>0</v>
      </c>
      <c r="AL24">
        <f t="shared" si="9"/>
        <v>0</v>
      </c>
      <c r="AM24">
        <f t="shared" si="10"/>
        <v>0</v>
      </c>
      <c r="AN24">
        <f t="shared" si="11"/>
        <v>0</v>
      </c>
    </row>
    <row r="25" spans="1:40" x14ac:dyDescent="0.3">
      <c r="A25" t="s">
        <v>25</v>
      </c>
      <c r="B25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0</v>
      </c>
      <c r="P25">
        <f t="shared" si="1"/>
        <v>0</v>
      </c>
      <c r="Q25">
        <f t="shared" si="2"/>
        <v>0</v>
      </c>
      <c r="R25">
        <f t="shared" si="3"/>
        <v>0</v>
      </c>
      <c r="S25">
        <f t="shared" si="4"/>
        <v>0</v>
      </c>
      <c r="T25">
        <f t="shared" si="5"/>
        <v>0</v>
      </c>
      <c r="AA25">
        <v>565810.99</v>
      </c>
      <c r="AB25">
        <v>2613</v>
      </c>
      <c r="AC25">
        <v>12</v>
      </c>
      <c r="AD25">
        <v>62060.43</v>
      </c>
      <c r="AE25">
        <v>92.1</v>
      </c>
      <c r="AF25">
        <v>0.216</v>
      </c>
      <c r="AG25">
        <v>4.7</v>
      </c>
      <c r="AH25">
        <v>0</v>
      </c>
      <c r="AI25">
        <f t="shared" si="6"/>
        <v>0</v>
      </c>
      <c r="AJ25">
        <f t="shared" si="7"/>
        <v>0</v>
      </c>
      <c r="AK25">
        <f t="shared" si="8"/>
        <v>0</v>
      </c>
      <c r="AL25">
        <f t="shared" si="9"/>
        <v>0</v>
      </c>
      <c r="AM25">
        <f t="shared" si="10"/>
        <v>0</v>
      </c>
      <c r="AN25">
        <f t="shared" si="11"/>
        <v>0</v>
      </c>
    </row>
    <row r="26" spans="1:40" x14ac:dyDescent="0.3">
      <c r="A26" t="s">
        <v>26</v>
      </c>
      <c r="B26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>
        <f t="shared" si="1"/>
        <v>0</v>
      </c>
      <c r="Q26">
        <f t="shared" si="2"/>
        <v>0</v>
      </c>
      <c r="R26">
        <f t="shared" si="3"/>
        <v>0</v>
      </c>
      <c r="S26">
        <f t="shared" si="4"/>
        <v>0</v>
      </c>
      <c r="T26">
        <f t="shared" si="5"/>
        <v>0</v>
      </c>
      <c r="AA26">
        <v>811771.14</v>
      </c>
      <c r="AB26">
        <v>10218</v>
      </c>
      <c r="AC26">
        <v>25</v>
      </c>
      <c r="AD26">
        <v>57696.69</v>
      </c>
      <c r="AE26">
        <v>94.8</v>
      </c>
      <c r="AF26">
        <v>0.121</v>
      </c>
      <c r="AG26">
        <v>3.5</v>
      </c>
      <c r="AH26">
        <v>0</v>
      </c>
      <c r="AI26">
        <f t="shared" si="6"/>
        <v>0</v>
      </c>
      <c r="AJ26">
        <f t="shared" si="7"/>
        <v>0</v>
      </c>
      <c r="AK26">
        <f t="shared" si="8"/>
        <v>0</v>
      </c>
      <c r="AL26">
        <f t="shared" si="9"/>
        <v>0</v>
      </c>
      <c r="AM26">
        <f t="shared" si="10"/>
        <v>0</v>
      </c>
      <c r="AN26">
        <f t="shared" si="11"/>
        <v>0</v>
      </c>
    </row>
    <row r="27" spans="1:40" x14ac:dyDescent="0.3">
      <c r="A27" t="s">
        <v>26</v>
      </c>
      <c r="B27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>
        <f t="shared" si="1"/>
        <v>0</v>
      </c>
      <c r="Q27">
        <f t="shared" si="2"/>
        <v>0</v>
      </c>
      <c r="R27">
        <f t="shared" si="3"/>
        <v>0</v>
      </c>
      <c r="S27">
        <f t="shared" si="4"/>
        <v>0</v>
      </c>
      <c r="T27">
        <f t="shared" si="5"/>
        <v>0</v>
      </c>
      <c r="AA27">
        <v>800451.94</v>
      </c>
      <c r="AB27">
        <v>8927</v>
      </c>
      <c r="AC27">
        <v>22</v>
      </c>
      <c r="AD27">
        <v>172415.52</v>
      </c>
      <c r="AE27">
        <v>86.2</v>
      </c>
      <c r="AF27">
        <v>0.14000000000000001</v>
      </c>
      <c r="AG27">
        <v>3.9</v>
      </c>
      <c r="AH27">
        <v>0</v>
      </c>
      <c r="AI27">
        <f t="shared" si="6"/>
        <v>0</v>
      </c>
      <c r="AJ27">
        <f t="shared" si="7"/>
        <v>0</v>
      </c>
      <c r="AK27">
        <f t="shared" si="8"/>
        <v>0</v>
      </c>
      <c r="AL27">
        <f t="shared" si="9"/>
        <v>0</v>
      </c>
      <c r="AM27">
        <f t="shared" si="10"/>
        <v>0</v>
      </c>
      <c r="AN27">
        <f t="shared" si="11"/>
        <v>0</v>
      </c>
    </row>
    <row r="28" spans="1:40" x14ac:dyDescent="0.3">
      <c r="A28" t="s">
        <v>26</v>
      </c>
      <c r="B28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>
        <f t="shared" si="1"/>
        <v>0</v>
      </c>
      <c r="Q28">
        <f t="shared" si="2"/>
        <v>0</v>
      </c>
      <c r="R28">
        <f t="shared" si="3"/>
        <v>0</v>
      </c>
      <c r="S28">
        <f t="shared" si="4"/>
        <v>0</v>
      </c>
      <c r="T28">
        <f t="shared" si="5"/>
        <v>0</v>
      </c>
      <c r="AA28">
        <v>783672.82</v>
      </c>
      <c r="AB28">
        <v>9315</v>
      </c>
      <c r="AC28">
        <v>23</v>
      </c>
      <c r="AD28">
        <v>55270.52</v>
      </c>
      <c r="AE28">
        <v>91.9</v>
      </c>
      <c r="AF28">
        <v>0.16900000000000001</v>
      </c>
      <c r="AG28">
        <v>4</v>
      </c>
      <c r="AH28">
        <v>0</v>
      </c>
      <c r="AI28">
        <f t="shared" si="6"/>
        <v>0</v>
      </c>
      <c r="AJ28">
        <f t="shared" si="7"/>
        <v>0</v>
      </c>
      <c r="AK28">
        <f t="shared" si="8"/>
        <v>0</v>
      </c>
      <c r="AL28">
        <f t="shared" si="9"/>
        <v>0</v>
      </c>
      <c r="AM28">
        <f t="shared" si="10"/>
        <v>0</v>
      </c>
      <c r="AN28">
        <f t="shared" si="11"/>
        <v>0</v>
      </c>
    </row>
    <row r="29" spans="1:40" x14ac:dyDescent="0.3">
      <c r="A29" t="s">
        <v>26</v>
      </c>
      <c r="B29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>
        <f t="shared" si="1"/>
        <v>0</v>
      </c>
      <c r="Q29">
        <f t="shared" si="2"/>
        <v>0</v>
      </c>
      <c r="R29">
        <f t="shared" si="3"/>
        <v>0</v>
      </c>
      <c r="S29">
        <f t="shared" si="4"/>
        <v>0</v>
      </c>
      <c r="T29">
        <f t="shared" si="5"/>
        <v>0</v>
      </c>
      <c r="AA29">
        <v>701641.97</v>
      </c>
      <c r="AB29">
        <v>7223</v>
      </c>
      <c r="AC29">
        <v>16</v>
      </c>
      <c r="AD29">
        <v>52715.1</v>
      </c>
      <c r="AE29">
        <v>84.2</v>
      </c>
      <c r="AF29">
        <v>0.122</v>
      </c>
      <c r="AG29">
        <v>3.7</v>
      </c>
      <c r="AH29">
        <v>0</v>
      </c>
      <c r="AI29">
        <f t="shared" si="6"/>
        <v>0</v>
      </c>
      <c r="AJ29">
        <f t="shared" si="7"/>
        <v>0</v>
      </c>
      <c r="AK29">
        <f t="shared" si="8"/>
        <v>0</v>
      </c>
      <c r="AL29">
        <f t="shared" si="9"/>
        <v>0</v>
      </c>
      <c r="AM29">
        <f t="shared" si="10"/>
        <v>0</v>
      </c>
      <c r="AN29">
        <f t="shared" si="11"/>
        <v>0</v>
      </c>
    </row>
    <row r="30" spans="1:40" x14ac:dyDescent="0.3">
      <c r="A30" t="s">
        <v>29</v>
      </c>
      <c r="B30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0</v>
      </c>
      <c r="P30">
        <f t="shared" si="1"/>
        <v>0</v>
      </c>
      <c r="Q30">
        <f t="shared" si="2"/>
        <v>0</v>
      </c>
      <c r="R30">
        <f t="shared" si="3"/>
        <v>0</v>
      </c>
      <c r="S30">
        <f t="shared" si="4"/>
        <v>0</v>
      </c>
      <c r="T30">
        <f t="shared" si="5"/>
        <v>0</v>
      </c>
      <c r="AA30">
        <v>511844.41</v>
      </c>
      <c r="AB30">
        <v>3988</v>
      </c>
      <c r="AC30">
        <v>11</v>
      </c>
      <c r="AD30">
        <v>68600.62</v>
      </c>
      <c r="AE30">
        <v>85</v>
      </c>
      <c r="AF30">
        <v>0.124</v>
      </c>
      <c r="AG30">
        <v>3.6</v>
      </c>
      <c r="AH30">
        <v>0</v>
      </c>
      <c r="AI30">
        <f t="shared" si="6"/>
        <v>0</v>
      </c>
      <c r="AJ30">
        <f t="shared" si="7"/>
        <v>0</v>
      </c>
      <c r="AK30">
        <f t="shared" si="8"/>
        <v>0</v>
      </c>
      <c r="AL30">
        <f t="shared" si="9"/>
        <v>0</v>
      </c>
      <c r="AM30">
        <f t="shared" si="10"/>
        <v>0</v>
      </c>
      <c r="AN30">
        <f t="shared" si="11"/>
        <v>0</v>
      </c>
    </row>
    <row r="31" spans="1:40" x14ac:dyDescent="0.3">
      <c r="A31" t="s">
        <v>29</v>
      </c>
      <c r="B31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0</v>
      </c>
      <c r="P31">
        <f t="shared" si="1"/>
        <v>0</v>
      </c>
      <c r="Q31">
        <f t="shared" si="2"/>
        <v>0</v>
      </c>
      <c r="R31">
        <f t="shared" si="3"/>
        <v>0</v>
      </c>
      <c r="S31">
        <f t="shared" si="4"/>
        <v>0</v>
      </c>
      <c r="T31">
        <f t="shared" si="5"/>
        <v>0</v>
      </c>
      <c r="AA31">
        <v>537383.79</v>
      </c>
      <c r="AB31">
        <v>2390</v>
      </c>
      <c r="AC31">
        <v>9</v>
      </c>
      <c r="AD31">
        <v>63176.73</v>
      </c>
      <c r="AE31">
        <v>87.5</v>
      </c>
      <c r="AF31">
        <v>0.216</v>
      </c>
      <c r="AG31">
        <v>3.1</v>
      </c>
      <c r="AH31">
        <v>0</v>
      </c>
      <c r="AI31">
        <f t="shared" si="6"/>
        <v>0</v>
      </c>
      <c r="AJ31">
        <f t="shared" si="7"/>
        <v>0</v>
      </c>
      <c r="AK31">
        <f t="shared" si="8"/>
        <v>0</v>
      </c>
      <c r="AL31">
        <f t="shared" si="9"/>
        <v>0</v>
      </c>
      <c r="AM31">
        <f t="shared" si="10"/>
        <v>0</v>
      </c>
      <c r="AN31">
        <f t="shared" si="11"/>
        <v>0</v>
      </c>
    </row>
    <row r="32" spans="1:40" x14ac:dyDescent="0.3">
      <c r="A32" t="s">
        <v>29</v>
      </c>
      <c r="B3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0</v>
      </c>
      <c r="P32">
        <f t="shared" si="1"/>
        <v>0</v>
      </c>
      <c r="Q32">
        <f t="shared" si="2"/>
        <v>0</v>
      </c>
      <c r="R32">
        <f t="shared" si="3"/>
        <v>0</v>
      </c>
      <c r="S32">
        <f t="shared" si="4"/>
        <v>0</v>
      </c>
      <c r="T32">
        <f t="shared" si="5"/>
        <v>0</v>
      </c>
      <c r="AA32">
        <v>500173.02</v>
      </c>
      <c r="AB32">
        <v>2471</v>
      </c>
      <c r="AC32">
        <v>11</v>
      </c>
      <c r="AD32">
        <v>44970.080000000002</v>
      </c>
      <c r="AE32">
        <v>87.6</v>
      </c>
      <c r="AF32">
        <v>0.13600000000000001</v>
      </c>
      <c r="AG32">
        <v>3.7</v>
      </c>
      <c r="AH32">
        <v>1</v>
      </c>
      <c r="AI32">
        <f t="shared" si="6"/>
        <v>0</v>
      </c>
      <c r="AJ32">
        <f t="shared" si="7"/>
        <v>0</v>
      </c>
      <c r="AK32">
        <f t="shared" si="8"/>
        <v>0</v>
      </c>
      <c r="AL32">
        <f t="shared" si="9"/>
        <v>0</v>
      </c>
      <c r="AM32">
        <f t="shared" si="10"/>
        <v>0</v>
      </c>
      <c r="AN32">
        <f t="shared" si="11"/>
        <v>0</v>
      </c>
    </row>
    <row r="33" spans="1:40" x14ac:dyDescent="0.3">
      <c r="A33" t="s">
        <v>29</v>
      </c>
      <c r="B3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0</v>
      </c>
      <c r="P33">
        <f t="shared" si="1"/>
        <v>0</v>
      </c>
      <c r="Q33">
        <f t="shared" si="2"/>
        <v>0</v>
      </c>
      <c r="R33">
        <f t="shared" si="3"/>
        <v>0</v>
      </c>
      <c r="S33">
        <f t="shared" si="4"/>
        <v>0</v>
      </c>
      <c r="T33">
        <f t="shared" si="5"/>
        <v>0</v>
      </c>
      <c r="AA33">
        <v>427917.38</v>
      </c>
      <c r="AB33">
        <v>971</v>
      </c>
      <c r="AC33">
        <v>5</v>
      </c>
      <c r="AD33">
        <v>69816.350000000006</v>
      </c>
      <c r="AE33">
        <v>89.9</v>
      </c>
      <c r="AF33">
        <v>0.16800000000000001</v>
      </c>
      <c r="AG33">
        <v>3.6</v>
      </c>
      <c r="AH33">
        <v>0</v>
      </c>
      <c r="AI33">
        <f t="shared" si="6"/>
        <v>0</v>
      </c>
      <c r="AJ33">
        <f t="shared" si="7"/>
        <v>0</v>
      </c>
      <c r="AK33">
        <f t="shared" si="8"/>
        <v>0</v>
      </c>
      <c r="AL33">
        <f t="shared" si="9"/>
        <v>0</v>
      </c>
      <c r="AM33">
        <f t="shared" si="10"/>
        <v>0</v>
      </c>
      <c r="AN33">
        <f t="shared" si="11"/>
        <v>0</v>
      </c>
    </row>
    <row r="34" spans="1:40" x14ac:dyDescent="0.3">
      <c r="A34" t="s">
        <v>30</v>
      </c>
      <c r="B34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0</v>
      </c>
      <c r="P34">
        <f t="shared" si="1"/>
        <v>0</v>
      </c>
      <c r="Q34">
        <f t="shared" si="2"/>
        <v>0</v>
      </c>
      <c r="R34">
        <f t="shared" si="3"/>
        <v>0</v>
      </c>
      <c r="S34">
        <f t="shared" si="4"/>
        <v>0</v>
      </c>
      <c r="T34">
        <f t="shared" si="5"/>
        <v>0</v>
      </c>
      <c r="AA34">
        <v>641865.03</v>
      </c>
      <c r="AB34">
        <v>9429</v>
      </c>
      <c r="AC34">
        <v>21</v>
      </c>
      <c r="AD34">
        <v>54597.83</v>
      </c>
      <c r="AE34">
        <v>83.3</v>
      </c>
      <c r="AF34">
        <v>0.188</v>
      </c>
      <c r="AG34">
        <v>4.2</v>
      </c>
      <c r="AH34">
        <v>0</v>
      </c>
      <c r="AI34">
        <f t="shared" si="6"/>
        <v>0</v>
      </c>
      <c r="AJ34">
        <f t="shared" si="7"/>
        <v>0</v>
      </c>
      <c r="AK34">
        <f t="shared" si="8"/>
        <v>0</v>
      </c>
      <c r="AL34">
        <f t="shared" si="9"/>
        <v>0</v>
      </c>
      <c r="AM34">
        <f t="shared" si="10"/>
        <v>0</v>
      </c>
      <c r="AN34">
        <f t="shared" si="11"/>
        <v>0</v>
      </c>
    </row>
    <row r="35" spans="1:40" x14ac:dyDescent="0.3">
      <c r="A35" t="s">
        <v>30</v>
      </c>
      <c r="B35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</v>
      </c>
      <c r="M35">
        <v>799477.76000000001</v>
      </c>
      <c r="N35">
        <v>164974.41</v>
      </c>
      <c r="O35">
        <f t="shared" si="0"/>
        <v>0</v>
      </c>
      <c r="P35">
        <f t="shared" si="1"/>
        <v>0</v>
      </c>
      <c r="Q35">
        <f t="shared" si="2"/>
        <v>0</v>
      </c>
      <c r="R35">
        <f t="shared" si="3"/>
        <v>0</v>
      </c>
      <c r="S35">
        <f t="shared" si="4"/>
        <v>0</v>
      </c>
      <c r="T35">
        <f t="shared" si="5"/>
        <v>0</v>
      </c>
      <c r="AA35">
        <v>799477.76000000001</v>
      </c>
      <c r="AB35">
        <v>11695</v>
      </c>
      <c r="AC35">
        <v>25</v>
      </c>
      <c r="AD35">
        <v>73771.91</v>
      </c>
      <c r="AE35">
        <v>84.7</v>
      </c>
      <c r="AF35">
        <v>7.0000000000000007E-2</v>
      </c>
      <c r="AG35">
        <v>3.9</v>
      </c>
      <c r="AH35">
        <v>0</v>
      </c>
      <c r="AI35">
        <f t="shared" si="6"/>
        <v>0</v>
      </c>
      <c r="AJ35">
        <f t="shared" si="7"/>
        <v>0</v>
      </c>
      <c r="AK35">
        <f t="shared" si="8"/>
        <v>0</v>
      </c>
      <c r="AL35">
        <f t="shared" si="9"/>
        <v>0</v>
      </c>
      <c r="AM35">
        <f t="shared" si="10"/>
        <v>0</v>
      </c>
      <c r="AN35">
        <f t="shared" si="11"/>
        <v>0</v>
      </c>
    </row>
    <row r="36" spans="1:40" x14ac:dyDescent="0.3">
      <c r="A36" t="s">
        <v>30</v>
      </c>
      <c r="B36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0</v>
      </c>
      <c r="P36">
        <f t="shared" si="1"/>
        <v>0</v>
      </c>
      <c r="Q36">
        <f t="shared" si="2"/>
        <v>0</v>
      </c>
      <c r="R36">
        <f t="shared" si="3"/>
        <v>0</v>
      </c>
      <c r="S36">
        <f t="shared" si="4"/>
        <v>0</v>
      </c>
      <c r="T36">
        <f t="shared" si="5"/>
        <v>0</v>
      </c>
      <c r="AA36">
        <v>798952.17</v>
      </c>
      <c r="AB36">
        <v>9449</v>
      </c>
      <c r="AC36">
        <v>23</v>
      </c>
      <c r="AD36">
        <v>74413.88</v>
      </c>
      <c r="AE36">
        <v>92.1</v>
      </c>
      <c r="AF36">
        <v>3.9E-2</v>
      </c>
      <c r="AG36">
        <v>3.5</v>
      </c>
      <c r="AH36">
        <v>0</v>
      </c>
      <c r="AI36">
        <f t="shared" si="6"/>
        <v>0</v>
      </c>
      <c r="AJ36">
        <f t="shared" si="7"/>
        <v>0</v>
      </c>
      <c r="AK36">
        <f t="shared" si="8"/>
        <v>0</v>
      </c>
      <c r="AL36">
        <f t="shared" si="9"/>
        <v>0</v>
      </c>
      <c r="AM36">
        <f t="shared" si="10"/>
        <v>0</v>
      </c>
      <c r="AN36">
        <f t="shared" si="11"/>
        <v>0</v>
      </c>
    </row>
    <row r="37" spans="1:40" x14ac:dyDescent="0.3">
      <c r="A37" t="s">
        <v>30</v>
      </c>
      <c r="B37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0</v>
      </c>
      <c r="P37">
        <f t="shared" si="1"/>
        <v>0</v>
      </c>
      <c r="Q37">
        <f t="shared" si="2"/>
        <v>0</v>
      </c>
      <c r="R37">
        <f t="shared" si="3"/>
        <v>0</v>
      </c>
      <c r="S37">
        <f t="shared" si="4"/>
        <v>0</v>
      </c>
      <c r="T37">
        <f t="shared" si="5"/>
        <v>0</v>
      </c>
      <c r="AA37">
        <v>800979.78</v>
      </c>
      <c r="AB37">
        <v>10453</v>
      </c>
      <c r="AC37">
        <v>25</v>
      </c>
      <c r="AD37">
        <v>52483.77</v>
      </c>
      <c r="AE37">
        <v>99</v>
      </c>
      <c r="AF37">
        <v>0.247</v>
      </c>
      <c r="AG37">
        <v>3.6</v>
      </c>
      <c r="AH37">
        <v>0</v>
      </c>
      <c r="AI37">
        <f t="shared" si="6"/>
        <v>0</v>
      </c>
      <c r="AJ37">
        <f t="shared" si="7"/>
        <v>0</v>
      </c>
      <c r="AK37">
        <f t="shared" si="8"/>
        <v>0</v>
      </c>
      <c r="AL37">
        <f t="shared" si="9"/>
        <v>0</v>
      </c>
      <c r="AM37">
        <f t="shared" si="10"/>
        <v>0</v>
      </c>
      <c r="AN37">
        <f t="shared" si="11"/>
        <v>0</v>
      </c>
    </row>
    <row r="38" spans="1:40" x14ac:dyDescent="0.3">
      <c r="A38" t="s">
        <v>31</v>
      </c>
      <c r="B38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0</v>
      </c>
      <c r="P38">
        <f t="shared" si="1"/>
        <v>0</v>
      </c>
      <c r="Q38">
        <f t="shared" si="2"/>
        <v>0</v>
      </c>
      <c r="R38">
        <f t="shared" si="3"/>
        <v>0</v>
      </c>
      <c r="S38">
        <f t="shared" si="4"/>
        <v>0</v>
      </c>
      <c r="T38">
        <f t="shared" si="5"/>
        <v>0</v>
      </c>
      <c r="AA38">
        <v>820593.93</v>
      </c>
      <c r="AB38">
        <v>8838</v>
      </c>
      <c r="AC38">
        <v>21</v>
      </c>
      <c r="AD38">
        <v>75269.87</v>
      </c>
      <c r="AE38">
        <v>83.1</v>
      </c>
      <c r="AF38">
        <v>9.1999999999999998E-2</v>
      </c>
      <c r="AG38">
        <v>4.2</v>
      </c>
      <c r="AH38">
        <v>1</v>
      </c>
      <c r="AI38">
        <f t="shared" si="6"/>
        <v>0</v>
      </c>
      <c r="AJ38">
        <f t="shared" si="7"/>
        <v>0</v>
      </c>
      <c r="AK38">
        <f t="shared" si="8"/>
        <v>0</v>
      </c>
      <c r="AL38">
        <f t="shared" si="9"/>
        <v>0</v>
      </c>
      <c r="AM38">
        <f t="shared" si="10"/>
        <v>0</v>
      </c>
      <c r="AN38">
        <f t="shared" si="11"/>
        <v>0</v>
      </c>
    </row>
    <row r="39" spans="1:40" x14ac:dyDescent="0.3">
      <c r="A39" t="s">
        <v>31</v>
      </c>
      <c r="B39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0</v>
      </c>
      <c r="P39">
        <f t="shared" si="1"/>
        <v>0</v>
      </c>
      <c r="Q39">
        <f t="shared" si="2"/>
        <v>0</v>
      </c>
      <c r="R39">
        <f t="shared" si="3"/>
        <v>0</v>
      </c>
      <c r="S39">
        <f t="shared" si="4"/>
        <v>0</v>
      </c>
      <c r="T39">
        <f t="shared" si="5"/>
        <v>0</v>
      </c>
      <c r="AA39">
        <v>718330.53</v>
      </c>
      <c r="AB39">
        <v>8156</v>
      </c>
      <c r="AC39">
        <v>19</v>
      </c>
      <c r="AD39">
        <v>61245.41</v>
      </c>
      <c r="AE39">
        <v>92.9</v>
      </c>
      <c r="AF39">
        <v>0.156</v>
      </c>
      <c r="AG39">
        <v>3.8</v>
      </c>
      <c r="AH39">
        <v>0</v>
      </c>
      <c r="AI39">
        <f t="shared" si="6"/>
        <v>0</v>
      </c>
      <c r="AJ39">
        <f t="shared" si="7"/>
        <v>0</v>
      </c>
      <c r="AK39">
        <f t="shared" si="8"/>
        <v>0</v>
      </c>
      <c r="AL39">
        <f t="shared" si="9"/>
        <v>0</v>
      </c>
      <c r="AM39">
        <f t="shared" si="10"/>
        <v>0</v>
      </c>
      <c r="AN39">
        <f t="shared" si="11"/>
        <v>0</v>
      </c>
    </row>
    <row r="40" spans="1:40" x14ac:dyDescent="0.3">
      <c r="A40" t="s">
        <v>31</v>
      </c>
      <c r="B40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0</v>
      </c>
      <c r="P40">
        <f t="shared" si="1"/>
        <v>0</v>
      </c>
      <c r="Q40">
        <f t="shared" si="2"/>
        <v>0</v>
      </c>
      <c r="R40">
        <f t="shared" si="3"/>
        <v>0</v>
      </c>
      <c r="S40">
        <f t="shared" si="4"/>
        <v>0</v>
      </c>
      <c r="T40">
        <f t="shared" si="5"/>
        <v>0</v>
      </c>
      <c r="AA40">
        <v>736633.4</v>
      </c>
      <c r="AB40">
        <v>7562</v>
      </c>
      <c r="AC40">
        <v>19</v>
      </c>
      <c r="AD40">
        <v>93381.26</v>
      </c>
      <c r="AE40">
        <v>82.9</v>
      </c>
      <c r="AF40">
        <v>0.19800000000000001</v>
      </c>
      <c r="AG40">
        <v>4</v>
      </c>
      <c r="AH40">
        <v>0</v>
      </c>
      <c r="AI40">
        <f t="shared" si="6"/>
        <v>0</v>
      </c>
      <c r="AJ40">
        <f t="shared" si="7"/>
        <v>0</v>
      </c>
      <c r="AK40">
        <f t="shared" si="8"/>
        <v>0</v>
      </c>
      <c r="AL40">
        <f t="shared" si="9"/>
        <v>0</v>
      </c>
      <c r="AM40">
        <f t="shared" si="10"/>
        <v>0</v>
      </c>
      <c r="AN40">
        <f t="shared" si="11"/>
        <v>0</v>
      </c>
    </row>
    <row r="41" spans="1:40" x14ac:dyDescent="0.3">
      <c r="A41" t="s">
        <v>31</v>
      </c>
      <c r="B41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0</v>
      </c>
      <c r="P41">
        <f t="shared" si="1"/>
        <v>0</v>
      </c>
      <c r="Q41">
        <f t="shared" si="2"/>
        <v>0</v>
      </c>
      <c r="R41">
        <f t="shared" si="3"/>
        <v>0</v>
      </c>
      <c r="S41">
        <f t="shared" si="4"/>
        <v>0</v>
      </c>
      <c r="T41">
        <f t="shared" si="5"/>
        <v>0</v>
      </c>
      <c r="AA41">
        <v>828623.85</v>
      </c>
      <c r="AB41">
        <v>9598</v>
      </c>
      <c r="AC41">
        <v>24</v>
      </c>
      <c r="AD41">
        <v>65012.19</v>
      </c>
      <c r="AE41">
        <v>98.3</v>
      </c>
      <c r="AF41">
        <v>8.5000000000000006E-2</v>
      </c>
      <c r="AG41">
        <v>3.8</v>
      </c>
      <c r="AH41">
        <v>0</v>
      </c>
      <c r="AI41">
        <f t="shared" si="6"/>
        <v>0</v>
      </c>
      <c r="AJ41">
        <f t="shared" si="7"/>
        <v>0</v>
      </c>
      <c r="AK41">
        <f t="shared" si="8"/>
        <v>0</v>
      </c>
      <c r="AL41">
        <f t="shared" si="9"/>
        <v>0</v>
      </c>
      <c r="AM41">
        <f t="shared" si="10"/>
        <v>0</v>
      </c>
      <c r="AN41">
        <f t="shared" si="11"/>
        <v>0</v>
      </c>
    </row>
    <row r="42" spans="1:40" x14ac:dyDescent="0.3">
      <c r="A42" t="s">
        <v>32</v>
      </c>
      <c r="B4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0</v>
      </c>
      <c r="P42">
        <f t="shared" si="1"/>
        <v>0</v>
      </c>
      <c r="Q42">
        <f t="shared" si="2"/>
        <v>0</v>
      </c>
      <c r="R42">
        <f t="shared" si="3"/>
        <v>0</v>
      </c>
      <c r="S42">
        <f t="shared" si="4"/>
        <v>0</v>
      </c>
      <c r="T42">
        <f t="shared" si="5"/>
        <v>0</v>
      </c>
      <c r="AA42">
        <v>592195.85</v>
      </c>
      <c r="AB42">
        <v>3660</v>
      </c>
      <c r="AC42">
        <v>11</v>
      </c>
      <c r="AD42">
        <v>40462.94</v>
      </c>
      <c r="AE42">
        <v>95.2</v>
      </c>
      <c r="AF42">
        <v>0.218</v>
      </c>
      <c r="AG42">
        <v>4.4000000000000004</v>
      </c>
      <c r="AH42">
        <v>0</v>
      </c>
      <c r="AI42">
        <f t="shared" si="6"/>
        <v>0</v>
      </c>
      <c r="AJ42">
        <f t="shared" si="7"/>
        <v>0</v>
      </c>
      <c r="AK42">
        <f t="shared" si="8"/>
        <v>0</v>
      </c>
      <c r="AL42">
        <f t="shared" si="9"/>
        <v>0</v>
      </c>
      <c r="AM42">
        <f t="shared" si="10"/>
        <v>0</v>
      </c>
      <c r="AN42">
        <f t="shared" si="11"/>
        <v>0</v>
      </c>
    </row>
    <row r="43" spans="1:40" x14ac:dyDescent="0.3">
      <c r="A43" t="s">
        <v>32</v>
      </c>
      <c r="B4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0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0</v>
      </c>
      <c r="T43">
        <f t="shared" si="5"/>
        <v>0</v>
      </c>
      <c r="AA43">
        <v>532644.46</v>
      </c>
      <c r="AB43">
        <v>3227</v>
      </c>
      <c r="AC43">
        <v>10</v>
      </c>
      <c r="AD43">
        <v>46123.88</v>
      </c>
      <c r="AE43">
        <v>75.400000000000006</v>
      </c>
      <c r="AF43">
        <v>0.14299999999999999</v>
      </c>
      <c r="AG43">
        <v>4.4000000000000004</v>
      </c>
      <c r="AH43">
        <v>0</v>
      </c>
      <c r="AI43">
        <f t="shared" si="6"/>
        <v>0</v>
      </c>
      <c r="AJ43">
        <f t="shared" si="7"/>
        <v>0</v>
      </c>
      <c r="AK43">
        <f t="shared" si="8"/>
        <v>0</v>
      </c>
      <c r="AL43">
        <f t="shared" si="9"/>
        <v>0</v>
      </c>
      <c r="AM43">
        <f t="shared" si="10"/>
        <v>0</v>
      </c>
      <c r="AN43">
        <f t="shared" si="11"/>
        <v>0</v>
      </c>
    </row>
    <row r="44" spans="1:40" x14ac:dyDescent="0.3">
      <c r="A44" t="s">
        <v>32</v>
      </c>
      <c r="B44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0</v>
      </c>
      <c r="P44">
        <f t="shared" si="1"/>
        <v>0</v>
      </c>
      <c r="Q44">
        <f t="shared" si="2"/>
        <v>0</v>
      </c>
      <c r="R44">
        <f t="shared" si="3"/>
        <v>0</v>
      </c>
      <c r="S44">
        <f t="shared" si="4"/>
        <v>0</v>
      </c>
      <c r="T44">
        <f t="shared" si="5"/>
        <v>0</v>
      </c>
      <c r="AA44">
        <v>657429.18000000005</v>
      </c>
      <c r="AB44">
        <v>3360</v>
      </c>
      <c r="AC44">
        <v>14</v>
      </c>
      <c r="AD44">
        <v>68077.539999999994</v>
      </c>
      <c r="AE44">
        <v>88.2</v>
      </c>
      <c r="AF44">
        <v>0.128</v>
      </c>
      <c r="AG44">
        <v>4</v>
      </c>
      <c r="AH44">
        <v>1</v>
      </c>
      <c r="AI44">
        <f t="shared" si="6"/>
        <v>0</v>
      </c>
      <c r="AJ44">
        <f t="shared" si="7"/>
        <v>0</v>
      </c>
      <c r="AK44">
        <f t="shared" si="8"/>
        <v>0</v>
      </c>
      <c r="AL44">
        <f t="shared" si="9"/>
        <v>0</v>
      </c>
      <c r="AM44">
        <f t="shared" si="10"/>
        <v>0</v>
      </c>
      <c r="AN44">
        <f t="shared" si="11"/>
        <v>0</v>
      </c>
    </row>
    <row r="45" spans="1:40" x14ac:dyDescent="0.3">
      <c r="A45" t="s">
        <v>32</v>
      </c>
      <c r="B45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0</v>
      </c>
      <c r="P45">
        <f t="shared" si="1"/>
        <v>0</v>
      </c>
      <c r="Q45">
        <f t="shared" si="2"/>
        <v>0</v>
      </c>
      <c r="R45">
        <f t="shared" si="3"/>
        <v>0</v>
      </c>
      <c r="S45">
        <f t="shared" si="4"/>
        <v>0</v>
      </c>
      <c r="T45">
        <f t="shared" si="5"/>
        <v>0</v>
      </c>
      <c r="AA45">
        <v>605178</v>
      </c>
      <c r="AB45">
        <v>3642</v>
      </c>
      <c r="AC45">
        <v>13</v>
      </c>
      <c r="AD45">
        <v>64882.14</v>
      </c>
      <c r="AE45">
        <v>87.8</v>
      </c>
      <c r="AF45">
        <v>1.9E-2</v>
      </c>
      <c r="AG45">
        <v>4.2</v>
      </c>
      <c r="AH45">
        <v>0</v>
      </c>
      <c r="AI45">
        <f t="shared" si="6"/>
        <v>0</v>
      </c>
      <c r="AJ45">
        <f t="shared" si="7"/>
        <v>0</v>
      </c>
      <c r="AK45">
        <f t="shared" si="8"/>
        <v>0</v>
      </c>
      <c r="AL45">
        <f t="shared" si="9"/>
        <v>0</v>
      </c>
      <c r="AM45">
        <f t="shared" si="10"/>
        <v>0</v>
      </c>
      <c r="AN45">
        <f t="shared" si="11"/>
        <v>0</v>
      </c>
    </row>
    <row r="46" spans="1:40" x14ac:dyDescent="0.3">
      <c r="A46" t="s">
        <v>33</v>
      </c>
      <c r="B46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0</v>
      </c>
      <c r="R46">
        <f t="shared" si="3"/>
        <v>0</v>
      </c>
      <c r="S46">
        <f t="shared" si="4"/>
        <v>0</v>
      </c>
      <c r="T46">
        <f t="shared" si="5"/>
        <v>0</v>
      </c>
      <c r="AA46">
        <v>595467.6</v>
      </c>
      <c r="AB46">
        <v>5145</v>
      </c>
      <c r="AC46">
        <v>17</v>
      </c>
      <c r="AD46">
        <v>138855.51</v>
      </c>
      <c r="AE46">
        <v>88.2</v>
      </c>
      <c r="AF46">
        <v>0.06</v>
      </c>
      <c r="AG46">
        <v>3.2</v>
      </c>
      <c r="AH46">
        <v>0</v>
      </c>
      <c r="AI46">
        <f t="shared" si="6"/>
        <v>0</v>
      </c>
      <c r="AJ46">
        <f t="shared" si="7"/>
        <v>0</v>
      </c>
      <c r="AK46">
        <f t="shared" si="8"/>
        <v>0</v>
      </c>
      <c r="AL46">
        <f t="shared" si="9"/>
        <v>0</v>
      </c>
      <c r="AM46">
        <f t="shared" si="10"/>
        <v>0</v>
      </c>
      <c r="AN46">
        <f t="shared" si="11"/>
        <v>0</v>
      </c>
    </row>
    <row r="47" spans="1:40" x14ac:dyDescent="0.3">
      <c r="A47" t="s">
        <v>33</v>
      </c>
      <c r="B47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0</v>
      </c>
      <c r="R47">
        <f t="shared" si="3"/>
        <v>0</v>
      </c>
      <c r="S47">
        <f t="shared" si="4"/>
        <v>0</v>
      </c>
      <c r="T47">
        <f t="shared" si="5"/>
        <v>0</v>
      </c>
      <c r="AA47">
        <v>599603.4</v>
      </c>
      <c r="AB47">
        <v>4460</v>
      </c>
      <c r="AC47">
        <v>14</v>
      </c>
      <c r="AD47">
        <v>63630.21</v>
      </c>
      <c r="AE47">
        <v>98.6</v>
      </c>
      <c r="AF47">
        <v>0.23499999999999999</v>
      </c>
      <c r="AG47">
        <v>3.5</v>
      </c>
      <c r="AH47">
        <v>0</v>
      </c>
      <c r="AI47">
        <f t="shared" si="6"/>
        <v>0</v>
      </c>
      <c r="AJ47">
        <f t="shared" si="7"/>
        <v>0</v>
      </c>
      <c r="AK47">
        <f t="shared" si="8"/>
        <v>0</v>
      </c>
      <c r="AL47">
        <f t="shared" si="9"/>
        <v>0</v>
      </c>
      <c r="AM47">
        <f t="shared" si="10"/>
        <v>0</v>
      </c>
      <c r="AN47">
        <f t="shared" si="11"/>
        <v>0</v>
      </c>
    </row>
    <row r="48" spans="1:40" x14ac:dyDescent="0.3">
      <c r="A48" t="s">
        <v>33</v>
      </c>
      <c r="B48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0</v>
      </c>
      <c r="R48">
        <f t="shared" si="3"/>
        <v>0</v>
      </c>
      <c r="S48">
        <f t="shared" si="4"/>
        <v>0</v>
      </c>
      <c r="T48">
        <f t="shared" si="5"/>
        <v>0</v>
      </c>
      <c r="AA48">
        <v>614800.09</v>
      </c>
      <c r="AB48">
        <v>3804</v>
      </c>
      <c r="AC48">
        <v>11</v>
      </c>
      <c r="AD48">
        <v>50043.65</v>
      </c>
      <c r="AE48">
        <v>90.9</v>
      </c>
      <c r="AF48">
        <v>0.113</v>
      </c>
      <c r="AG48">
        <v>3.2</v>
      </c>
      <c r="AH48">
        <v>1</v>
      </c>
      <c r="AI48">
        <f t="shared" si="6"/>
        <v>0</v>
      </c>
      <c r="AJ48">
        <f t="shared" si="7"/>
        <v>0</v>
      </c>
      <c r="AK48">
        <f t="shared" si="8"/>
        <v>0</v>
      </c>
      <c r="AL48">
        <f t="shared" si="9"/>
        <v>0</v>
      </c>
      <c r="AM48">
        <f t="shared" si="10"/>
        <v>0</v>
      </c>
      <c r="AN48">
        <f t="shared" si="11"/>
        <v>0</v>
      </c>
    </row>
    <row r="49" spans="1:40" x14ac:dyDescent="0.3">
      <c r="A49" t="s">
        <v>33</v>
      </c>
      <c r="B49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0</v>
      </c>
      <c r="R49">
        <f t="shared" si="3"/>
        <v>0</v>
      </c>
      <c r="S49">
        <f t="shared" si="4"/>
        <v>0</v>
      </c>
      <c r="T49">
        <f t="shared" si="5"/>
        <v>0</v>
      </c>
      <c r="AA49">
        <v>585365.73</v>
      </c>
      <c r="AB49">
        <v>4074</v>
      </c>
      <c r="AC49">
        <v>15</v>
      </c>
      <c r="AD49">
        <v>42093.84</v>
      </c>
      <c r="AE49">
        <v>88</v>
      </c>
      <c r="AF49">
        <v>0.155</v>
      </c>
      <c r="AG49">
        <v>3.3</v>
      </c>
      <c r="AH49">
        <v>0</v>
      </c>
      <c r="AI49">
        <f t="shared" si="6"/>
        <v>0</v>
      </c>
      <c r="AJ49">
        <f t="shared" si="7"/>
        <v>0</v>
      </c>
      <c r="AK49">
        <f t="shared" si="8"/>
        <v>0</v>
      </c>
      <c r="AL49">
        <f t="shared" si="9"/>
        <v>0</v>
      </c>
      <c r="AM49">
        <f t="shared" si="10"/>
        <v>0</v>
      </c>
      <c r="AN49">
        <f t="shared" si="11"/>
        <v>0</v>
      </c>
    </row>
    <row r="50" spans="1:40" x14ac:dyDescent="0.3">
      <c r="A50" t="s">
        <v>34</v>
      </c>
      <c r="B50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0</v>
      </c>
      <c r="P50">
        <f t="shared" si="1"/>
        <v>0</v>
      </c>
      <c r="Q50">
        <f t="shared" si="2"/>
        <v>0</v>
      </c>
      <c r="R50">
        <f t="shared" si="3"/>
        <v>0</v>
      </c>
      <c r="S50">
        <f t="shared" si="4"/>
        <v>0</v>
      </c>
      <c r="T50">
        <f t="shared" si="5"/>
        <v>0</v>
      </c>
      <c r="AA50">
        <v>622811.74</v>
      </c>
      <c r="AB50">
        <v>5104</v>
      </c>
      <c r="AC50">
        <v>11</v>
      </c>
      <c r="AD50">
        <v>46624.05</v>
      </c>
      <c r="AE50">
        <v>97.3</v>
      </c>
      <c r="AF50">
        <v>0.109</v>
      </c>
      <c r="AG50">
        <v>4.7</v>
      </c>
      <c r="AH50">
        <v>1</v>
      </c>
      <c r="AI50">
        <f t="shared" si="6"/>
        <v>0</v>
      </c>
      <c r="AJ50">
        <f t="shared" si="7"/>
        <v>0</v>
      </c>
      <c r="AK50">
        <f t="shared" si="8"/>
        <v>0</v>
      </c>
      <c r="AL50">
        <f t="shared" si="9"/>
        <v>0</v>
      </c>
      <c r="AM50">
        <f t="shared" si="10"/>
        <v>0</v>
      </c>
      <c r="AN50">
        <f t="shared" si="11"/>
        <v>0</v>
      </c>
    </row>
    <row r="51" spans="1:40" x14ac:dyDescent="0.3">
      <c r="A51" t="s">
        <v>34</v>
      </c>
      <c r="B51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0</v>
      </c>
      <c r="P51">
        <f t="shared" si="1"/>
        <v>0</v>
      </c>
      <c r="Q51">
        <f t="shared" si="2"/>
        <v>0</v>
      </c>
      <c r="R51">
        <f t="shared" si="3"/>
        <v>0</v>
      </c>
      <c r="S51">
        <f t="shared" si="4"/>
        <v>0</v>
      </c>
      <c r="T51">
        <f t="shared" si="5"/>
        <v>0</v>
      </c>
      <c r="AA51">
        <v>603297.56999999995</v>
      </c>
      <c r="AB51">
        <v>5559</v>
      </c>
      <c r="AC51">
        <v>14</v>
      </c>
      <c r="AD51">
        <v>49710.29</v>
      </c>
      <c r="AE51">
        <v>71</v>
      </c>
      <c r="AF51">
        <v>0.218</v>
      </c>
      <c r="AG51">
        <v>4.5999999999999996</v>
      </c>
      <c r="AH51">
        <v>0</v>
      </c>
      <c r="AI51">
        <f t="shared" si="6"/>
        <v>0</v>
      </c>
      <c r="AJ51">
        <f t="shared" si="7"/>
        <v>0</v>
      </c>
      <c r="AK51">
        <f t="shared" si="8"/>
        <v>0</v>
      </c>
      <c r="AL51">
        <f t="shared" si="9"/>
        <v>0</v>
      </c>
      <c r="AM51">
        <f t="shared" si="10"/>
        <v>0</v>
      </c>
      <c r="AN51">
        <f t="shared" si="11"/>
        <v>0</v>
      </c>
    </row>
    <row r="52" spans="1:40" x14ac:dyDescent="0.3">
      <c r="A52" t="s">
        <v>34</v>
      </c>
      <c r="B5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0</v>
      </c>
      <c r="P52">
        <f t="shared" si="1"/>
        <v>0</v>
      </c>
      <c r="Q52">
        <f t="shared" si="2"/>
        <v>0</v>
      </c>
      <c r="R52">
        <f t="shared" si="3"/>
        <v>0</v>
      </c>
      <c r="S52">
        <f t="shared" si="4"/>
        <v>0</v>
      </c>
      <c r="T52">
        <f t="shared" si="5"/>
        <v>0</v>
      </c>
      <c r="AA52">
        <v>625672.86</v>
      </c>
      <c r="AB52">
        <v>5150</v>
      </c>
      <c r="AC52">
        <v>12</v>
      </c>
      <c r="AD52">
        <v>48287.85</v>
      </c>
      <c r="AE52">
        <v>80.400000000000006</v>
      </c>
      <c r="AF52">
        <v>8.0000000000000002E-3</v>
      </c>
      <c r="AG52">
        <v>4.5</v>
      </c>
      <c r="AH52">
        <v>0</v>
      </c>
      <c r="AI52">
        <f t="shared" si="6"/>
        <v>0</v>
      </c>
      <c r="AJ52">
        <f t="shared" si="7"/>
        <v>0</v>
      </c>
      <c r="AK52">
        <f t="shared" si="8"/>
        <v>0</v>
      </c>
      <c r="AL52">
        <f t="shared" si="9"/>
        <v>0</v>
      </c>
      <c r="AM52">
        <f t="shared" si="10"/>
        <v>0</v>
      </c>
      <c r="AN52">
        <f t="shared" si="11"/>
        <v>0</v>
      </c>
    </row>
    <row r="53" spans="1:40" x14ac:dyDescent="0.3">
      <c r="A53" t="s">
        <v>34</v>
      </c>
      <c r="B5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0</v>
      </c>
      <c r="P53">
        <f t="shared" si="1"/>
        <v>0</v>
      </c>
      <c r="Q53">
        <f t="shared" si="2"/>
        <v>0</v>
      </c>
      <c r="R53">
        <f t="shared" si="3"/>
        <v>0</v>
      </c>
      <c r="S53">
        <f t="shared" si="4"/>
        <v>0</v>
      </c>
      <c r="T53">
        <f t="shared" si="5"/>
        <v>0</v>
      </c>
      <c r="AA53">
        <v>773815.14</v>
      </c>
      <c r="AB53">
        <v>7189</v>
      </c>
      <c r="AC53">
        <v>19</v>
      </c>
      <c r="AD53">
        <v>65312.49</v>
      </c>
      <c r="AE53">
        <v>93.7</v>
      </c>
      <c r="AF53">
        <v>0.05</v>
      </c>
      <c r="AG53">
        <v>4.5999999999999996</v>
      </c>
      <c r="AH53">
        <v>0</v>
      </c>
      <c r="AI53">
        <f t="shared" si="6"/>
        <v>0</v>
      </c>
      <c r="AJ53">
        <f t="shared" si="7"/>
        <v>0</v>
      </c>
      <c r="AK53">
        <f t="shared" si="8"/>
        <v>0</v>
      </c>
      <c r="AL53">
        <f t="shared" si="9"/>
        <v>0</v>
      </c>
      <c r="AM53">
        <f t="shared" si="10"/>
        <v>0</v>
      </c>
      <c r="AN53">
        <f t="shared" si="11"/>
        <v>0</v>
      </c>
    </row>
    <row r="54" spans="1:40" x14ac:dyDescent="0.3">
      <c r="A54" t="s">
        <v>35</v>
      </c>
      <c r="B54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0</v>
      </c>
      <c r="P54">
        <f t="shared" si="1"/>
        <v>0</v>
      </c>
      <c r="Q54">
        <f t="shared" si="2"/>
        <v>0</v>
      </c>
      <c r="R54">
        <f t="shared" si="3"/>
        <v>0</v>
      </c>
      <c r="S54">
        <f t="shared" si="4"/>
        <v>0</v>
      </c>
      <c r="T54">
        <f t="shared" si="5"/>
        <v>0</v>
      </c>
      <c r="AA54">
        <v>463534.25</v>
      </c>
      <c r="AB54">
        <v>3279</v>
      </c>
      <c r="AC54">
        <v>9</v>
      </c>
      <c r="AD54">
        <v>53015.46</v>
      </c>
      <c r="AE54">
        <v>84.3</v>
      </c>
      <c r="AF54">
        <v>8.6999999999999994E-2</v>
      </c>
      <c r="AG54">
        <v>3.9</v>
      </c>
      <c r="AH54">
        <v>0</v>
      </c>
      <c r="AI54">
        <f t="shared" si="6"/>
        <v>0</v>
      </c>
      <c r="AJ54">
        <f t="shared" si="7"/>
        <v>0</v>
      </c>
      <c r="AK54">
        <f t="shared" si="8"/>
        <v>0</v>
      </c>
      <c r="AL54">
        <f t="shared" si="9"/>
        <v>0</v>
      </c>
      <c r="AM54">
        <f t="shared" si="10"/>
        <v>0</v>
      </c>
      <c r="AN54">
        <f t="shared" si="11"/>
        <v>0</v>
      </c>
    </row>
    <row r="55" spans="1:40" x14ac:dyDescent="0.3">
      <c r="A55" t="s">
        <v>35</v>
      </c>
      <c r="B55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0</v>
      </c>
      <c r="P55">
        <f t="shared" si="1"/>
        <v>0</v>
      </c>
      <c r="Q55">
        <f t="shared" si="2"/>
        <v>0</v>
      </c>
      <c r="R55">
        <f t="shared" si="3"/>
        <v>0</v>
      </c>
      <c r="S55">
        <f t="shared" si="4"/>
        <v>0</v>
      </c>
      <c r="T55">
        <f t="shared" si="5"/>
        <v>0</v>
      </c>
      <c r="AA55">
        <v>746677.75</v>
      </c>
      <c r="AB55">
        <v>5887</v>
      </c>
      <c r="AC55">
        <v>14</v>
      </c>
      <c r="AD55">
        <v>99874.01</v>
      </c>
      <c r="AE55">
        <v>88.7</v>
      </c>
      <c r="AF55">
        <v>0.26200000000000001</v>
      </c>
      <c r="AG55">
        <v>4.7</v>
      </c>
      <c r="AH55">
        <v>0</v>
      </c>
      <c r="AI55">
        <f t="shared" si="6"/>
        <v>0</v>
      </c>
      <c r="AJ55">
        <f t="shared" si="7"/>
        <v>0</v>
      </c>
      <c r="AK55">
        <f t="shared" si="8"/>
        <v>0</v>
      </c>
      <c r="AL55">
        <f t="shared" si="9"/>
        <v>0</v>
      </c>
      <c r="AM55">
        <f t="shared" si="10"/>
        <v>0</v>
      </c>
      <c r="AN55">
        <f t="shared" si="11"/>
        <v>0</v>
      </c>
    </row>
    <row r="56" spans="1:40" x14ac:dyDescent="0.3">
      <c r="A56" t="s">
        <v>35</v>
      </c>
      <c r="B56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0</v>
      </c>
      <c r="P56">
        <f t="shared" si="1"/>
        <v>0</v>
      </c>
      <c r="Q56">
        <f t="shared" si="2"/>
        <v>0</v>
      </c>
      <c r="R56">
        <f t="shared" si="3"/>
        <v>0</v>
      </c>
      <c r="S56">
        <f t="shared" si="4"/>
        <v>0</v>
      </c>
      <c r="T56">
        <f t="shared" si="5"/>
        <v>0</v>
      </c>
      <c r="AA56">
        <v>720852.5</v>
      </c>
      <c r="AB56">
        <v>5516</v>
      </c>
      <c r="AC56">
        <v>14</v>
      </c>
      <c r="AD56">
        <v>81195.5</v>
      </c>
      <c r="AE56">
        <v>88</v>
      </c>
      <c r="AF56">
        <v>0.106</v>
      </c>
      <c r="AG56">
        <v>4.3</v>
      </c>
      <c r="AH56">
        <v>0</v>
      </c>
      <c r="AI56">
        <f t="shared" si="6"/>
        <v>0</v>
      </c>
      <c r="AJ56">
        <f t="shared" si="7"/>
        <v>0</v>
      </c>
      <c r="AK56">
        <f t="shared" si="8"/>
        <v>0</v>
      </c>
      <c r="AL56">
        <f t="shared" si="9"/>
        <v>0</v>
      </c>
      <c r="AM56">
        <f t="shared" si="10"/>
        <v>0</v>
      </c>
      <c r="AN56">
        <f t="shared" si="11"/>
        <v>0</v>
      </c>
    </row>
    <row r="57" spans="1:40" x14ac:dyDescent="0.3">
      <c r="A57" t="s">
        <v>35</v>
      </c>
      <c r="B57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0</v>
      </c>
      <c r="P57">
        <f t="shared" si="1"/>
        <v>0</v>
      </c>
      <c r="Q57">
        <f t="shared" si="2"/>
        <v>0</v>
      </c>
      <c r="R57">
        <f t="shared" si="3"/>
        <v>0</v>
      </c>
      <c r="S57">
        <f t="shared" si="4"/>
        <v>0</v>
      </c>
      <c r="T57">
        <f t="shared" si="5"/>
        <v>0</v>
      </c>
      <c r="AA57">
        <v>487464.91</v>
      </c>
      <c r="AB57">
        <v>2863</v>
      </c>
      <c r="AC57">
        <v>13</v>
      </c>
      <c r="AD57">
        <v>27808.6</v>
      </c>
      <c r="AE57">
        <v>89.3</v>
      </c>
      <c r="AF57">
        <v>0.08</v>
      </c>
      <c r="AG57">
        <v>4.0999999999999996</v>
      </c>
      <c r="AH57">
        <v>0</v>
      </c>
      <c r="AI57">
        <f t="shared" si="6"/>
        <v>0</v>
      </c>
      <c r="AJ57">
        <f t="shared" si="7"/>
        <v>0</v>
      </c>
      <c r="AK57">
        <f t="shared" si="8"/>
        <v>0</v>
      </c>
      <c r="AL57">
        <f t="shared" si="9"/>
        <v>0</v>
      </c>
      <c r="AM57">
        <f t="shared" si="10"/>
        <v>0</v>
      </c>
      <c r="AN57">
        <f t="shared" si="11"/>
        <v>0</v>
      </c>
    </row>
    <row r="58" spans="1:40" x14ac:dyDescent="0.3">
      <c r="A58" t="s">
        <v>36</v>
      </c>
      <c r="B58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0</v>
      </c>
      <c r="P58">
        <f t="shared" si="1"/>
        <v>0</v>
      </c>
      <c r="Q58">
        <f t="shared" si="2"/>
        <v>0</v>
      </c>
      <c r="R58">
        <f t="shared" si="3"/>
        <v>0</v>
      </c>
      <c r="S58">
        <f t="shared" si="4"/>
        <v>0</v>
      </c>
      <c r="T58">
        <f t="shared" si="5"/>
        <v>0</v>
      </c>
      <c r="AA58">
        <v>518049.26</v>
      </c>
      <c r="AB58">
        <v>2378</v>
      </c>
      <c r="AC58">
        <v>12</v>
      </c>
      <c r="AD58">
        <v>19365.060000000001</v>
      </c>
      <c r="AE58">
        <v>94.8</v>
      </c>
      <c r="AF58">
        <v>0</v>
      </c>
      <c r="AG58">
        <v>3.5</v>
      </c>
      <c r="AH58">
        <v>0</v>
      </c>
      <c r="AI58">
        <f t="shared" si="6"/>
        <v>0</v>
      </c>
      <c r="AJ58">
        <f t="shared" si="7"/>
        <v>0</v>
      </c>
      <c r="AK58">
        <f t="shared" si="8"/>
        <v>0</v>
      </c>
      <c r="AL58">
        <f t="shared" si="9"/>
        <v>0</v>
      </c>
      <c r="AM58">
        <f t="shared" si="10"/>
        <v>0</v>
      </c>
      <c r="AN58">
        <f t="shared" si="11"/>
        <v>0</v>
      </c>
    </row>
    <row r="59" spans="1:40" x14ac:dyDescent="0.3">
      <c r="A59" t="s">
        <v>36</v>
      </c>
      <c r="B59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0</v>
      </c>
      <c r="P59">
        <f t="shared" si="1"/>
        <v>0</v>
      </c>
      <c r="Q59">
        <f t="shared" si="2"/>
        <v>0</v>
      </c>
      <c r="R59">
        <f t="shared" si="3"/>
        <v>0</v>
      </c>
      <c r="S59">
        <f t="shared" si="4"/>
        <v>0</v>
      </c>
      <c r="T59">
        <f t="shared" si="5"/>
        <v>0</v>
      </c>
      <c r="AA59">
        <v>500298.48</v>
      </c>
      <c r="AB59">
        <v>2515</v>
      </c>
      <c r="AC59">
        <v>12</v>
      </c>
      <c r="AD59">
        <v>59405.68</v>
      </c>
      <c r="AE59">
        <v>76</v>
      </c>
      <c r="AF59">
        <v>3.9E-2</v>
      </c>
      <c r="AG59">
        <v>3.7</v>
      </c>
      <c r="AH59">
        <v>0</v>
      </c>
      <c r="AI59">
        <f t="shared" si="6"/>
        <v>0</v>
      </c>
      <c r="AJ59">
        <f t="shared" si="7"/>
        <v>0</v>
      </c>
      <c r="AK59">
        <f t="shared" si="8"/>
        <v>0</v>
      </c>
      <c r="AL59">
        <f t="shared" si="9"/>
        <v>0</v>
      </c>
      <c r="AM59">
        <f t="shared" si="10"/>
        <v>0</v>
      </c>
      <c r="AN59">
        <f t="shared" si="11"/>
        <v>0</v>
      </c>
    </row>
    <row r="60" spans="1:40" x14ac:dyDescent="0.3">
      <c r="A60" t="s">
        <v>36</v>
      </c>
      <c r="B60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0</v>
      </c>
      <c r="P60">
        <f t="shared" si="1"/>
        <v>0</v>
      </c>
      <c r="Q60">
        <f t="shared" si="2"/>
        <v>0</v>
      </c>
      <c r="R60">
        <f t="shared" si="3"/>
        <v>0</v>
      </c>
      <c r="S60">
        <f t="shared" si="4"/>
        <v>0</v>
      </c>
      <c r="T60">
        <f t="shared" si="5"/>
        <v>0</v>
      </c>
      <c r="AA60">
        <v>617291.15</v>
      </c>
      <c r="AB60">
        <v>4022</v>
      </c>
      <c r="AC60">
        <v>11</v>
      </c>
      <c r="AD60">
        <v>118910.48</v>
      </c>
      <c r="AE60">
        <v>87.1</v>
      </c>
      <c r="AF60">
        <v>0.13700000000000001</v>
      </c>
      <c r="AG60">
        <v>3.1</v>
      </c>
      <c r="AH60">
        <v>0</v>
      </c>
      <c r="AI60">
        <f t="shared" si="6"/>
        <v>0</v>
      </c>
      <c r="AJ60">
        <f t="shared" si="7"/>
        <v>0</v>
      </c>
      <c r="AK60">
        <f t="shared" si="8"/>
        <v>0</v>
      </c>
      <c r="AL60">
        <f t="shared" si="9"/>
        <v>0</v>
      </c>
      <c r="AM60">
        <f t="shared" si="10"/>
        <v>0</v>
      </c>
      <c r="AN60">
        <f t="shared" si="11"/>
        <v>0</v>
      </c>
    </row>
    <row r="61" spans="1:40" x14ac:dyDescent="0.3">
      <c r="A61" t="s">
        <v>36</v>
      </c>
      <c r="B61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0</v>
      </c>
      <c r="P61">
        <f t="shared" si="1"/>
        <v>0</v>
      </c>
      <c r="Q61">
        <f t="shared" si="2"/>
        <v>0</v>
      </c>
      <c r="R61">
        <f t="shared" si="3"/>
        <v>0</v>
      </c>
      <c r="S61">
        <f t="shared" si="4"/>
        <v>0</v>
      </c>
      <c r="T61">
        <f t="shared" si="5"/>
        <v>0</v>
      </c>
      <c r="AA61">
        <v>553756.43000000005</v>
      </c>
      <c r="AB61">
        <v>4377</v>
      </c>
      <c r="AC61">
        <v>14</v>
      </c>
      <c r="AD61">
        <v>52952.12</v>
      </c>
      <c r="AE61">
        <v>88.6</v>
      </c>
      <c r="AF61">
        <v>9.1999999999999998E-2</v>
      </c>
      <c r="AG61">
        <v>3.1</v>
      </c>
      <c r="AH61">
        <v>0</v>
      </c>
      <c r="AI61">
        <f t="shared" si="6"/>
        <v>0</v>
      </c>
      <c r="AJ61">
        <f t="shared" si="7"/>
        <v>0</v>
      </c>
      <c r="AK61">
        <f t="shared" si="8"/>
        <v>0</v>
      </c>
      <c r="AL61">
        <f t="shared" si="9"/>
        <v>0</v>
      </c>
      <c r="AM61">
        <f t="shared" si="10"/>
        <v>0</v>
      </c>
      <c r="AN61">
        <f t="shared" si="11"/>
        <v>0</v>
      </c>
    </row>
    <row r="62" spans="1:40" x14ac:dyDescent="0.3">
      <c r="A62" t="s">
        <v>37</v>
      </c>
      <c r="B6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0</v>
      </c>
      <c r="P62">
        <f t="shared" si="1"/>
        <v>0</v>
      </c>
      <c r="Q62">
        <f t="shared" si="2"/>
        <v>0</v>
      </c>
      <c r="R62">
        <f t="shared" si="3"/>
        <v>0</v>
      </c>
      <c r="S62">
        <f t="shared" si="4"/>
        <v>0</v>
      </c>
      <c r="T62">
        <f t="shared" si="5"/>
        <v>0</v>
      </c>
      <c r="AA62">
        <v>749559.71</v>
      </c>
      <c r="AB62">
        <v>5306</v>
      </c>
      <c r="AC62">
        <v>16</v>
      </c>
      <c r="AD62">
        <v>74907.98</v>
      </c>
      <c r="AE62">
        <v>95.6</v>
      </c>
      <c r="AF62">
        <v>6.2E-2</v>
      </c>
      <c r="AG62">
        <v>3.7</v>
      </c>
      <c r="AH62">
        <v>0</v>
      </c>
      <c r="AI62">
        <f t="shared" si="6"/>
        <v>0</v>
      </c>
      <c r="AJ62">
        <f t="shared" si="7"/>
        <v>0</v>
      </c>
      <c r="AK62">
        <f t="shared" si="8"/>
        <v>0</v>
      </c>
      <c r="AL62">
        <f t="shared" si="9"/>
        <v>0</v>
      </c>
      <c r="AM62">
        <f t="shared" si="10"/>
        <v>0</v>
      </c>
      <c r="AN62">
        <f t="shared" si="11"/>
        <v>0</v>
      </c>
    </row>
    <row r="63" spans="1:40" x14ac:dyDescent="0.3">
      <c r="A63" t="s">
        <v>37</v>
      </c>
      <c r="B6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0</v>
      </c>
      <c r="P63">
        <f t="shared" si="1"/>
        <v>0</v>
      </c>
      <c r="Q63">
        <f t="shared" si="2"/>
        <v>0</v>
      </c>
      <c r="R63">
        <f t="shared" si="3"/>
        <v>0</v>
      </c>
      <c r="S63">
        <f t="shared" si="4"/>
        <v>0</v>
      </c>
      <c r="T63">
        <f t="shared" si="5"/>
        <v>0</v>
      </c>
      <c r="AA63">
        <v>615966.48</v>
      </c>
      <c r="AB63">
        <v>3928</v>
      </c>
      <c r="AC63">
        <v>12</v>
      </c>
      <c r="AD63">
        <v>37284.660000000003</v>
      </c>
      <c r="AE63">
        <v>86.5</v>
      </c>
      <c r="AF63">
        <v>7.3999999999999996E-2</v>
      </c>
      <c r="AG63">
        <v>3.8</v>
      </c>
      <c r="AH63">
        <v>0</v>
      </c>
      <c r="AI63">
        <f t="shared" si="6"/>
        <v>0</v>
      </c>
      <c r="AJ63">
        <f t="shared" si="7"/>
        <v>0</v>
      </c>
      <c r="AK63">
        <f t="shared" si="8"/>
        <v>0</v>
      </c>
      <c r="AL63">
        <f t="shared" si="9"/>
        <v>0</v>
      </c>
      <c r="AM63">
        <f t="shared" si="10"/>
        <v>0</v>
      </c>
      <c r="AN63">
        <f t="shared" si="11"/>
        <v>0</v>
      </c>
    </row>
    <row r="64" spans="1:40" x14ac:dyDescent="0.3">
      <c r="A64" t="s">
        <v>37</v>
      </c>
      <c r="B64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0</v>
      </c>
      <c r="P64">
        <f t="shared" si="1"/>
        <v>0</v>
      </c>
      <c r="Q64">
        <f t="shared" si="2"/>
        <v>0</v>
      </c>
      <c r="R64">
        <f t="shared" si="3"/>
        <v>0</v>
      </c>
      <c r="S64">
        <f t="shared" si="4"/>
        <v>0</v>
      </c>
      <c r="T64">
        <f t="shared" si="5"/>
        <v>0</v>
      </c>
      <c r="AA64">
        <v>572011.19999999995</v>
      </c>
      <c r="AB64">
        <v>3845</v>
      </c>
      <c r="AC64">
        <v>9</v>
      </c>
      <c r="AD64">
        <v>50343.19</v>
      </c>
      <c r="AE64">
        <v>88.7</v>
      </c>
      <c r="AF64">
        <v>0.113</v>
      </c>
      <c r="AG64">
        <v>3.3</v>
      </c>
      <c r="AH64">
        <v>0</v>
      </c>
      <c r="AI64">
        <f t="shared" si="6"/>
        <v>0</v>
      </c>
      <c r="AJ64">
        <f t="shared" si="7"/>
        <v>0</v>
      </c>
      <c r="AK64">
        <f t="shared" si="8"/>
        <v>0</v>
      </c>
      <c r="AL64">
        <f t="shared" si="9"/>
        <v>0</v>
      </c>
      <c r="AM64">
        <f t="shared" si="10"/>
        <v>0</v>
      </c>
      <c r="AN64">
        <f t="shared" si="11"/>
        <v>0</v>
      </c>
    </row>
    <row r="65" spans="1:40" x14ac:dyDescent="0.3">
      <c r="A65" t="s">
        <v>37</v>
      </c>
      <c r="B65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0</v>
      </c>
      <c r="P65">
        <f t="shared" si="1"/>
        <v>0</v>
      </c>
      <c r="Q65">
        <f t="shared" si="2"/>
        <v>0</v>
      </c>
      <c r="R65">
        <f t="shared" si="3"/>
        <v>0</v>
      </c>
      <c r="S65">
        <f t="shared" si="4"/>
        <v>0</v>
      </c>
      <c r="T65">
        <f t="shared" si="5"/>
        <v>0</v>
      </c>
      <c r="AA65">
        <v>761860.19</v>
      </c>
      <c r="AB65">
        <v>6620</v>
      </c>
      <c r="AC65">
        <v>17</v>
      </c>
      <c r="AD65">
        <v>74954.47</v>
      </c>
      <c r="AE65">
        <v>91.1</v>
      </c>
      <c r="AF65">
        <v>5.3999999999999999E-2</v>
      </c>
      <c r="AG65">
        <v>3.5</v>
      </c>
      <c r="AH65">
        <v>0</v>
      </c>
      <c r="AI65">
        <f t="shared" si="6"/>
        <v>0</v>
      </c>
      <c r="AJ65">
        <f t="shared" si="7"/>
        <v>0</v>
      </c>
      <c r="AK65">
        <f t="shared" si="8"/>
        <v>0</v>
      </c>
      <c r="AL65">
        <f t="shared" si="9"/>
        <v>0</v>
      </c>
      <c r="AM65">
        <f t="shared" si="10"/>
        <v>0</v>
      </c>
      <c r="AN65">
        <f t="shared" si="11"/>
        <v>0</v>
      </c>
    </row>
    <row r="66" spans="1:40" x14ac:dyDescent="0.3">
      <c r="A66" t="s">
        <v>38</v>
      </c>
      <c r="B66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0</v>
      </c>
      <c r="P66">
        <f t="shared" si="1"/>
        <v>0</v>
      </c>
      <c r="Q66">
        <f t="shared" si="2"/>
        <v>0</v>
      </c>
      <c r="R66">
        <f t="shared" si="3"/>
        <v>0</v>
      </c>
      <c r="S66">
        <f t="shared" si="4"/>
        <v>0</v>
      </c>
      <c r="T66">
        <f t="shared" si="5"/>
        <v>0</v>
      </c>
      <c r="AA66">
        <v>784502.68</v>
      </c>
      <c r="AB66">
        <v>9175</v>
      </c>
      <c r="AC66">
        <v>23</v>
      </c>
      <c r="AD66">
        <v>70040.31</v>
      </c>
      <c r="AE66">
        <v>95.1</v>
      </c>
      <c r="AF66">
        <v>0.107</v>
      </c>
      <c r="AG66">
        <v>3.4</v>
      </c>
      <c r="AH66">
        <v>1</v>
      </c>
      <c r="AI66">
        <f t="shared" si="6"/>
        <v>0</v>
      </c>
      <c r="AJ66">
        <f t="shared" si="7"/>
        <v>0</v>
      </c>
      <c r="AK66">
        <f t="shared" si="8"/>
        <v>0</v>
      </c>
      <c r="AL66">
        <f t="shared" si="9"/>
        <v>0</v>
      </c>
      <c r="AM66">
        <f t="shared" si="10"/>
        <v>0</v>
      </c>
      <c r="AN66">
        <f t="shared" si="11"/>
        <v>0</v>
      </c>
    </row>
    <row r="67" spans="1:40" x14ac:dyDescent="0.3">
      <c r="A67" t="s">
        <v>38</v>
      </c>
      <c r="B67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12">IF(M67="North",1,0)</f>
        <v>0</v>
      </c>
      <c r="P67">
        <f t="shared" ref="P67:P130" si="13">IF(M67="South",1,0)</f>
        <v>0</v>
      </c>
      <c r="Q67">
        <f t="shared" ref="Q67:Q130" si="14">IF(M67="West",1,0)</f>
        <v>0</v>
      </c>
      <c r="R67">
        <f t="shared" ref="R67:R130" si="15">IF(N67="High Street",1,0)</f>
        <v>0</v>
      </c>
      <c r="S67">
        <f t="shared" ref="S67:S130" si="16">IF(N67="Airport",1,0)</f>
        <v>0</v>
      </c>
      <c r="T67">
        <f t="shared" ref="T67:T130" si="17">IF(N67="Mall",1,0)</f>
        <v>0</v>
      </c>
      <c r="AA67">
        <v>717141.55</v>
      </c>
      <c r="AB67">
        <v>7940</v>
      </c>
      <c r="AC67">
        <v>18</v>
      </c>
      <c r="AD67">
        <v>51148.69</v>
      </c>
      <c r="AE67">
        <v>93.3</v>
      </c>
      <c r="AF67">
        <v>0.156</v>
      </c>
      <c r="AG67">
        <v>3.6</v>
      </c>
      <c r="AH67">
        <v>0</v>
      </c>
      <c r="AI67">
        <f t="shared" ref="AI67:AI130" si="18">IF(AG67="North",1,0)</f>
        <v>0</v>
      </c>
      <c r="AJ67">
        <f t="shared" ref="AJ67:AJ130" si="19">IF(AG67="South",1,0)</f>
        <v>0</v>
      </c>
      <c r="AK67">
        <f t="shared" ref="AK67:AK130" si="20">IF(AG67="West",1,0)</f>
        <v>0</v>
      </c>
      <c r="AL67">
        <f t="shared" ref="AL67:AL130" si="21">IF(AH67="High Street",1,0)</f>
        <v>0</v>
      </c>
      <c r="AM67">
        <f t="shared" ref="AM67:AM130" si="22">IF(AH67="Airport",1,0)</f>
        <v>0</v>
      </c>
      <c r="AN67">
        <f t="shared" ref="AN67:AN130" si="23">IF(AH67="Mall",1,0)</f>
        <v>0</v>
      </c>
    </row>
    <row r="68" spans="1:40" x14ac:dyDescent="0.3">
      <c r="A68" t="s">
        <v>38</v>
      </c>
      <c r="B68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12"/>
        <v>0</v>
      </c>
      <c r="P68">
        <f t="shared" si="13"/>
        <v>0</v>
      </c>
      <c r="Q68">
        <f t="shared" si="14"/>
        <v>0</v>
      </c>
      <c r="R68">
        <f t="shared" si="15"/>
        <v>0</v>
      </c>
      <c r="S68">
        <f t="shared" si="16"/>
        <v>0</v>
      </c>
      <c r="T68">
        <f t="shared" si="17"/>
        <v>0</v>
      </c>
      <c r="AA68">
        <v>685379.08</v>
      </c>
      <c r="AB68">
        <v>9628</v>
      </c>
      <c r="AC68">
        <v>20</v>
      </c>
      <c r="AD68">
        <v>79346.100000000006</v>
      </c>
      <c r="AE68">
        <v>99</v>
      </c>
      <c r="AF68">
        <v>0.10199999999999999</v>
      </c>
      <c r="AG68">
        <v>3.2</v>
      </c>
      <c r="AH68">
        <v>1</v>
      </c>
      <c r="AI68">
        <f t="shared" si="18"/>
        <v>0</v>
      </c>
      <c r="AJ68">
        <f t="shared" si="19"/>
        <v>0</v>
      </c>
      <c r="AK68">
        <f t="shared" si="20"/>
        <v>0</v>
      </c>
      <c r="AL68">
        <f t="shared" si="21"/>
        <v>0</v>
      </c>
      <c r="AM68">
        <f t="shared" si="22"/>
        <v>0</v>
      </c>
      <c r="AN68">
        <f t="shared" si="23"/>
        <v>0</v>
      </c>
    </row>
    <row r="69" spans="1:40" x14ac:dyDescent="0.3">
      <c r="A69" t="s">
        <v>38</v>
      </c>
      <c r="B69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12"/>
        <v>0</v>
      </c>
      <c r="P69">
        <f t="shared" si="13"/>
        <v>0</v>
      </c>
      <c r="Q69">
        <f t="shared" si="14"/>
        <v>0</v>
      </c>
      <c r="R69">
        <f t="shared" si="15"/>
        <v>0</v>
      </c>
      <c r="S69">
        <f t="shared" si="16"/>
        <v>0</v>
      </c>
      <c r="T69">
        <f t="shared" si="17"/>
        <v>0</v>
      </c>
      <c r="AA69">
        <v>740496.65</v>
      </c>
      <c r="AB69">
        <v>8296</v>
      </c>
      <c r="AC69">
        <v>17</v>
      </c>
      <c r="AD69">
        <v>42018.400000000001</v>
      </c>
      <c r="AE69">
        <v>91.8</v>
      </c>
      <c r="AF69">
        <v>0.115</v>
      </c>
      <c r="AG69">
        <v>3.4</v>
      </c>
      <c r="AH69">
        <v>0</v>
      </c>
      <c r="AI69">
        <f t="shared" si="18"/>
        <v>0</v>
      </c>
      <c r="AJ69">
        <f t="shared" si="19"/>
        <v>0</v>
      </c>
      <c r="AK69">
        <f t="shared" si="20"/>
        <v>0</v>
      </c>
      <c r="AL69">
        <f t="shared" si="21"/>
        <v>0</v>
      </c>
      <c r="AM69">
        <f t="shared" si="22"/>
        <v>0</v>
      </c>
      <c r="AN69">
        <f t="shared" si="23"/>
        <v>0</v>
      </c>
    </row>
    <row r="70" spans="1:40" x14ac:dyDescent="0.3">
      <c r="A70" t="s">
        <v>39</v>
      </c>
      <c r="B70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12"/>
        <v>0</v>
      </c>
      <c r="P70">
        <f t="shared" si="13"/>
        <v>0</v>
      </c>
      <c r="Q70">
        <f t="shared" si="14"/>
        <v>0</v>
      </c>
      <c r="R70">
        <f t="shared" si="15"/>
        <v>0</v>
      </c>
      <c r="S70">
        <f t="shared" si="16"/>
        <v>0</v>
      </c>
      <c r="T70">
        <f t="shared" si="17"/>
        <v>0</v>
      </c>
      <c r="AA70">
        <v>661927.14</v>
      </c>
      <c r="AB70">
        <v>3595</v>
      </c>
      <c r="AC70">
        <v>11</v>
      </c>
      <c r="AD70">
        <v>70937.240000000005</v>
      </c>
      <c r="AE70">
        <v>88.9</v>
      </c>
      <c r="AF70">
        <v>0.14099999999999999</v>
      </c>
      <c r="AG70">
        <v>3.3</v>
      </c>
      <c r="AH70">
        <v>1</v>
      </c>
      <c r="AI70">
        <f t="shared" si="18"/>
        <v>0</v>
      </c>
      <c r="AJ70">
        <f t="shared" si="19"/>
        <v>0</v>
      </c>
      <c r="AK70">
        <f t="shared" si="20"/>
        <v>0</v>
      </c>
      <c r="AL70">
        <f t="shared" si="21"/>
        <v>0</v>
      </c>
      <c r="AM70">
        <f t="shared" si="22"/>
        <v>0</v>
      </c>
      <c r="AN70">
        <f t="shared" si="23"/>
        <v>0</v>
      </c>
    </row>
    <row r="71" spans="1:40" x14ac:dyDescent="0.3">
      <c r="A71" t="s">
        <v>39</v>
      </c>
      <c r="B71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12"/>
        <v>0</v>
      </c>
      <c r="P71">
        <f t="shared" si="13"/>
        <v>0</v>
      </c>
      <c r="Q71">
        <f t="shared" si="14"/>
        <v>0</v>
      </c>
      <c r="R71">
        <f t="shared" si="15"/>
        <v>0</v>
      </c>
      <c r="S71">
        <f t="shared" si="16"/>
        <v>0</v>
      </c>
      <c r="T71">
        <f t="shared" si="17"/>
        <v>0</v>
      </c>
      <c r="AA71">
        <v>479050.5</v>
      </c>
      <c r="AB71">
        <v>2834</v>
      </c>
      <c r="AC71">
        <v>11</v>
      </c>
      <c r="AD71">
        <v>36813.449999999997</v>
      </c>
      <c r="AE71">
        <v>81.8</v>
      </c>
      <c r="AF71">
        <v>0.191</v>
      </c>
      <c r="AG71">
        <v>3.3</v>
      </c>
      <c r="AH71">
        <v>0</v>
      </c>
      <c r="AI71">
        <f t="shared" si="18"/>
        <v>0</v>
      </c>
      <c r="AJ71">
        <f t="shared" si="19"/>
        <v>0</v>
      </c>
      <c r="AK71">
        <f t="shared" si="20"/>
        <v>0</v>
      </c>
      <c r="AL71">
        <f t="shared" si="21"/>
        <v>0</v>
      </c>
      <c r="AM71">
        <f t="shared" si="22"/>
        <v>0</v>
      </c>
      <c r="AN71">
        <f t="shared" si="23"/>
        <v>0</v>
      </c>
    </row>
    <row r="72" spans="1:40" x14ac:dyDescent="0.3">
      <c r="A72" t="s">
        <v>39</v>
      </c>
      <c r="B7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12"/>
        <v>0</v>
      </c>
      <c r="P72">
        <f t="shared" si="13"/>
        <v>0</v>
      </c>
      <c r="Q72">
        <f t="shared" si="14"/>
        <v>0</v>
      </c>
      <c r="R72">
        <f t="shared" si="15"/>
        <v>0</v>
      </c>
      <c r="S72">
        <f t="shared" si="16"/>
        <v>0</v>
      </c>
      <c r="T72">
        <f t="shared" si="17"/>
        <v>0</v>
      </c>
      <c r="AA72">
        <v>605023.87</v>
      </c>
      <c r="AB72">
        <v>3193</v>
      </c>
      <c r="AC72">
        <v>7</v>
      </c>
      <c r="AD72">
        <v>60571.82</v>
      </c>
      <c r="AE72">
        <v>99</v>
      </c>
      <c r="AF72">
        <v>0.19700000000000001</v>
      </c>
      <c r="AG72">
        <v>3.2</v>
      </c>
      <c r="AH72">
        <v>0</v>
      </c>
      <c r="AI72">
        <f t="shared" si="18"/>
        <v>0</v>
      </c>
      <c r="AJ72">
        <f t="shared" si="19"/>
        <v>0</v>
      </c>
      <c r="AK72">
        <f t="shared" si="20"/>
        <v>0</v>
      </c>
      <c r="AL72">
        <f t="shared" si="21"/>
        <v>0</v>
      </c>
      <c r="AM72">
        <f t="shared" si="22"/>
        <v>0</v>
      </c>
      <c r="AN72">
        <f t="shared" si="23"/>
        <v>0</v>
      </c>
    </row>
    <row r="73" spans="1:40" x14ac:dyDescent="0.3">
      <c r="A73" t="s">
        <v>39</v>
      </c>
      <c r="B7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3.37</v>
      </c>
      <c r="K73">
        <v>0</v>
      </c>
      <c r="L73">
        <v>3.5</v>
      </c>
      <c r="M73">
        <v>674774.09</v>
      </c>
      <c r="N73">
        <v>141917.59</v>
      </c>
      <c r="O73">
        <f t="shared" si="12"/>
        <v>0</v>
      </c>
      <c r="P73">
        <f t="shared" si="13"/>
        <v>0</v>
      </c>
      <c r="Q73">
        <f t="shared" si="14"/>
        <v>0</v>
      </c>
      <c r="R73">
        <f t="shared" si="15"/>
        <v>0</v>
      </c>
      <c r="S73">
        <f t="shared" si="16"/>
        <v>0</v>
      </c>
      <c r="T73">
        <f t="shared" si="17"/>
        <v>0</v>
      </c>
      <c r="AA73">
        <v>674774.09</v>
      </c>
      <c r="AB73">
        <v>5485</v>
      </c>
      <c r="AC73">
        <v>12</v>
      </c>
      <c r="AD73">
        <v>55081.16</v>
      </c>
      <c r="AE73">
        <v>88</v>
      </c>
      <c r="AF73">
        <v>3.5999999999999997E-2</v>
      </c>
      <c r="AG73">
        <v>3.5</v>
      </c>
      <c r="AH73">
        <v>0</v>
      </c>
      <c r="AI73">
        <f t="shared" si="18"/>
        <v>0</v>
      </c>
      <c r="AJ73">
        <f t="shared" si="19"/>
        <v>0</v>
      </c>
      <c r="AK73">
        <f t="shared" si="20"/>
        <v>0</v>
      </c>
      <c r="AL73">
        <f t="shared" si="21"/>
        <v>0</v>
      </c>
      <c r="AM73">
        <f t="shared" si="22"/>
        <v>0</v>
      </c>
      <c r="AN73">
        <f t="shared" si="23"/>
        <v>0</v>
      </c>
    </row>
    <row r="74" spans="1:40" x14ac:dyDescent="0.3">
      <c r="A74" t="s">
        <v>40</v>
      </c>
      <c r="B74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12"/>
        <v>0</v>
      </c>
      <c r="P74">
        <f t="shared" si="13"/>
        <v>0</v>
      </c>
      <c r="Q74">
        <f t="shared" si="14"/>
        <v>0</v>
      </c>
      <c r="R74">
        <f t="shared" si="15"/>
        <v>0</v>
      </c>
      <c r="S74">
        <f t="shared" si="16"/>
        <v>0</v>
      </c>
      <c r="T74">
        <f t="shared" si="17"/>
        <v>0</v>
      </c>
      <c r="AA74">
        <v>616069.41</v>
      </c>
      <c r="AB74">
        <v>5918</v>
      </c>
      <c r="AC74">
        <v>13</v>
      </c>
      <c r="AD74">
        <v>46201.46</v>
      </c>
      <c r="AE74">
        <v>78.8</v>
      </c>
      <c r="AF74">
        <v>0.27700000000000002</v>
      </c>
      <c r="AG74">
        <v>4.5</v>
      </c>
      <c r="AH74">
        <v>0</v>
      </c>
      <c r="AI74">
        <f t="shared" si="18"/>
        <v>0</v>
      </c>
      <c r="AJ74">
        <f t="shared" si="19"/>
        <v>0</v>
      </c>
      <c r="AK74">
        <f t="shared" si="20"/>
        <v>0</v>
      </c>
      <c r="AL74">
        <f t="shared" si="21"/>
        <v>0</v>
      </c>
      <c r="AM74">
        <f t="shared" si="22"/>
        <v>0</v>
      </c>
      <c r="AN74">
        <f t="shared" si="23"/>
        <v>0</v>
      </c>
    </row>
    <row r="75" spans="1:40" x14ac:dyDescent="0.3">
      <c r="A75" t="s">
        <v>40</v>
      </c>
      <c r="B75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12"/>
        <v>0</v>
      </c>
      <c r="P75">
        <f t="shared" si="13"/>
        <v>0</v>
      </c>
      <c r="Q75">
        <f t="shared" si="14"/>
        <v>0</v>
      </c>
      <c r="R75">
        <f t="shared" si="15"/>
        <v>0</v>
      </c>
      <c r="S75">
        <f t="shared" si="16"/>
        <v>0</v>
      </c>
      <c r="T75">
        <f t="shared" si="17"/>
        <v>0</v>
      </c>
      <c r="AA75">
        <v>630829.93999999994</v>
      </c>
      <c r="AB75">
        <v>6821</v>
      </c>
      <c r="AC75">
        <v>19</v>
      </c>
      <c r="AD75">
        <v>53762.92</v>
      </c>
      <c r="AE75">
        <v>94.6</v>
      </c>
      <c r="AF75">
        <v>6.6000000000000003E-2</v>
      </c>
      <c r="AG75">
        <v>4.4000000000000004</v>
      </c>
      <c r="AH75">
        <v>0</v>
      </c>
      <c r="AI75">
        <f t="shared" si="18"/>
        <v>0</v>
      </c>
      <c r="AJ75">
        <f t="shared" si="19"/>
        <v>0</v>
      </c>
      <c r="AK75">
        <f t="shared" si="20"/>
        <v>0</v>
      </c>
      <c r="AL75">
        <f t="shared" si="21"/>
        <v>0</v>
      </c>
      <c r="AM75">
        <f t="shared" si="22"/>
        <v>0</v>
      </c>
      <c r="AN75">
        <f t="shared" si="23"/>
        <v>0</v>
      </c>
    </row>
    <row r="76" spans="1:40" x14ac:dyDescent="0.3">
      <c r="A76" t="s">
        <v>40</v>
      </c>
      <c r="B76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12"/>
        <v>0</v>
      </c>
      <c r="P76">
        <f t="shared" si="13"/>
        <v>0</v>
      </c>
      <c r="Q76">
        <f t="shared" si="14"/>
        <v>0</v>
      </c>
      <c r="R76">
        <f t="shared" si="15"/>
        <v>0</v>
      </c>
      <c r="S76">
        <f t="shared" si="16"/>
        <v>0</v>
      </c>
      <c r="T76">
        <f t="shared" si="17"/>
        <v>0</v>
      </c>
      <c r="AA76">
        <v>788087.68</v>
      </c>
      <c r="AB76">
        <v>6806</v>
      </c>
      <c r="AC76">
        <v>20</v>
      </c>
      <c r="AD76">
        <v>70144.78</v>
      </c>
      <c r="AE76">
        <v>93.1</v>
      </c>
      <c r="AF76">
        <v>0.17799999999999999</v>
      </c>
      <c r="AG76">
        <v>4.3</v>
      </c>
      <c r="AH76">
        <v>1</v>
      </c>
      <c r="AI76">
        <f t="shared" si="18"/>
        <v>0</v>
      </c>
      <c r="AJ76">
        <f t="shared" si="19"/>
        <v>0</v>
      </c>
      <c r="AK76">
        <f t="shared" si="20"/>
        <v>0</v>
      </c>
      <c r="AL76">
        <f t="shared" si="21"/>
        <v>0</v>
      </c>
      <c r="AM76">
        <f t="shared" si="22"/>
        <v>0</v>
      </c>
      <c r="AN76">
        <f t="shared" si="23"/>
        <v>0</v>
      </c>
    </row>
    <row r="77" spans="1:40" x14ac:dyDescent="0.3">
      <c r="A77" t="s">
        <v>40</v>
      </c>
      <c r="B77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12"/>
        <v>0</v>
      </c>
      <c r="P77">
        <f t="shared" si="13"/>
        <v>0</v>
      </c>
      <c r="Q77">
        <f t="shared" si="14"/>
        <v>0</v>
      </c>
      <c r="R77">
        <f t="shared" si="15"/>
        <v>0</v>
      </c>
      <c r="S77">
        <f t="shared" si="16"/>
        <v>0</v>
      </c>
      <c r="T77">
        <f t="shared" si="17"/>
        <v>0</v>
      </c>
      <c r="AA77">
        <v>680840.36</v>
      </c>
      <c r="AB77">
        <v>8252</v>
      </c>
      <c r="AC77">
        <v>20</v>
      </c>
      <c r="AD77">
        <v>58749.63</v>
      </c>
      <c r="AE77">
        <v>85.2</v>
      </c>
      <c r="AF77">
        <v>0.20300000000000001</v>
      </c>
      <c r="AG77">
        <v>4.5</v>
      </c>
      <c r="AH77">
        <v>0</v>
      </c>
      <c r="AI77">
        <f t="shared" si="18"/>
        <v>0</v>
      </c>
      <c r="AJ77">
        <f t="shared" si="19"/>
        <v>0</v>
      </c>
      <c r="AK77">
        <f t="shared" si="20"/>
        <v>0</v>
      </c>
      <c r="AL77">
        <f t="shared" si="21"/>
        <v>0</v>
      </c>
      <c r="AM77">
        <f t="shared" si="22"/>
        <v>0</v>
      </c>
      <c r="AN77">
        <f t="shared" si="23"/>
        <v>0</v>
      </c>
    </row>
    <row r="78" spans="1:40" x14ac:dyDescent="0.3">
      <c r="A78" t="s">
        <v>41</v>
      </c>
      <c r="B78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12"/>
        <v>0</v>
      </c>
      <c r="P78">
        <f t="shared" si="13"/>
        <v>0</v>
      </c>
      <c r="Q78">
        <f t="shared" si="14"/>
        <v>0</v>
      </c>
      <c r="R78">
        <f t="shared" si="15"/>
        <v>0</v>
      </c>
      <c r="S78">
        <f t="shared" si="16"/>
        <v>0</v>
      </c>
      <c r="T78">
        <f t="shared" si="17"/>
        <v>0</v>
      </c>
      <c r="AA78">
        <v>643657.47</v>
      </c>
      <c r="AB78">
        <v>6662</v>
      </c>
      <c r="AC78">
        <v>15</v>
      </c>
      <c r="AD78">
        <v>56973.18</v>
      </c>
      <c r="AE78">
        <v>77.7</v>
      </c>
      <c r="AF78">
        <v>0.1</v>
      </c>
      <c r="AG78">
        <v>3.2</v>
      </c>
      <c r="AH78">
        <v>1</v>
      </c>
      <c r="AI78">
        <f t="shared" si="18"/>
        <v>0</v>
      </c>
      <c r="AJ78">
        <f t="shared" si="19"/>
        <v>0</v>
      </c>
      <c r="AK78">
        <f t="shared" si="20"/>
        <v>0</v>
      </c>
      <c r="AL78">
        <f t="shared" si="21"/>
        <v>0</v>
      </c>
      <c r="AM78">
        <f t="shared" si="22"/>
        <v>0</v>
      </c>
      <c r="AN78">
        <f t="shared" si="23"/>
        <v>0</v>
      </c>
    </row>
    <row r="79" spans="1:40" x14ac:dyDescent="0.3">
      <c r="A79" t="s">
        <v>41</v>
      </c>
      <c r="B79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12"/>
        <v>0</v>
      </c>
      <c r="P79">
        <f t="shared" si="13"/>
        <v>0</v>
      </c>
      <c r="Q79">
        <f t="shared" si="14"/>
        <v>0</v>
      </c>
      <c r="R79">
        <f t="shared" si="15"/>
        <v>0</v>
      </c>
      <c r="S79">
        <f t="shared" si="16"/>
        <v>0</v>
      </c>
      <c r="T79">
        <f t="shared" si="17"/>
        <v>0</v>
      </c>
      <c r="AA79">
        <v>691112.6</v>
      </c>
      <c r="AB79">
        <v>5962</v>
      </c>
      <c r="AC79">
        <v>12</v>
      </c>
      <c r="AD79">
        <v>54872.82</v>
      </c>
      <c r="AE79">
        <v>85.4</v>
      </c>
      <c r="AF79">
        <v>6.4000000000000001E-2</v>
      </c>
      <c r="AG79">
        <v>2.9</v>
      </c>
      <c r="AH79">
        <v>0</v>
      </c>
      <c r="AI79">
        <f t="shared" si="18"/>
        <v>0</v>
      </c>
      <c r="AJ79">
        <f t="shared" si="19"/>
        <v>0</v>
      </c>
      <c r="AK79">
        <f t="shared" si="20"/>
        <v>0</v>
      </c>
      <c r="AL79">
        <f t="shared" si="21"/>
        <v>0</v>
      </c>
      <c r="AM79">
        <f t="shared" si="22"/>
        <v>0</v>
      </c>
      <c r="AN79">
        <f t="shared" si="23"/>
        <v>0</v>
      </c>
    </row>
    <row r="80" spans="1:40" x14ac:dyDescent="0.3">
      <c r="A80" t="s">
        <v>41</v>
      </c>
      <c r="B80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12"/>
        <v>0</v>
      </c>
      <c r="P80">
        <f t="shared" si="13"/>
        <v>0</v>
      </c>
      <c r="Q80">
        <f t="shared" si="14"/>
        <v>0</v>
      </c>
      <c r="R80">
        <f t="shared" si="15"/>
        <v>0</v>
      </c>
      <c r="S80">
        <f t="shared" si="16"/>
        <v>0</v>
      </c>
      <c r="T80">
        <f t="shared" si="17"/>
        <v>0</v>
      </c>
      <c r="AA80">
        <v>776922.17</v>
      </c>
      <c r="AB80">
        <v>7470</v>
      </c>
      <c r="AC80">
        <v>16</v>
      </c>
      <c r="AD80">
        <v>80562.81</v>
      </c>
      <c r="AE80">
        <v>83.5</v>
      </c>
      <c r="AF80">
        <v>0.17199999999999999</v>
      </c>
      <c r="AG80">
        <v>3.3</v>
      </c>
      <c r="AH80">
        <v>0</v>
      </c>
      <c r="AI80">
        <f t="shared" si="18"/>
        <v>0</v>
      </c>
      <c r="AJ80">
        <f t="shared" si="19"/>
        <v>0</v>
      </c>
      <c r="AK80">
        <f t="shared" si="20"/>
        <v>0</v>
      </c>
      <c r="AL80">
        <f t="shared" si="21"/>
        <v>0</v>
      </c>
      <c r="AM80">
        <f t="shared" si="22"/>
        <v>0</v>
      </c>
      <c r="AN80">
        <f t="shared" si="23"/>
        <v>0</v>
      </c>
    </row>
    <row r="81" spans="1:40" x14ac:dyDescent="0.3">
      <c r="A81" t="s">
        <v>41</v>
      </c>
      <c r="B81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12"/>
        <v>0</v>
      </c>
      <c r="P81">
        <f t="shared" si="13"/>
        <v>0</v>
      </c>
      <c r="Q81">
        <f t="shared" si="14"/>
        <v>0</v>
      </c>
      <c r="R81">
        <f t="shared" si="15"/>
        <v>0</v>
      </c>
      <c r="S81">
        <f t="shared" si="16"/>
        <v>0</v>
      </c>
      <c r="T81">
        <f t="shared" si="17"/>
        <v>0</v>
      </c>
      <c r="AA81">
        <v>636561.34</v>
      </c>
      <c r="AB81">
        <v>5974</v>
      </c>
      <c r="AC81">
        <v>14</v>
      </c>
      <c r="AD81">
        <v>77999.899999999994</v>
      </c>
      <c r="AE81">
        <v>81.3</v>
      </c>
      <c r="AF81">
        <v>0.252</v>
      </c>
      <c r="AG81">
        <v>3.2</v>
      </c>
      <c r="AH81">
        <v>0</v>
      </c>
      <c r="AI81">
        <f t="shared" si="18"/>
        <v>0</v>
      </c>
      <c r="AJ81">
        <f t="shared" si="19"/>
        <v>0</v>
      </c>
      <c r="AK81">
        <f t="shared" si="20"/>
        <v>0</v>
      </c>
      <c r="AL81">
        <f t="shared" si="21"/>
        <v>0</v>
      </c>
      <c r="AM81">
        <f t="shared" si="22"/>
        <v>0</v>
      </c>
      <c r="AN81">
        <f t="shared" si="23"/>
        <v>0</v>
      </c>
    </row>
    <row r="82" spans="1:40" x14ac:dyDescent="0.3">
      <c r="A82" t="s">
        <v>42</v>
      </c>
      <c r="B8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12"/>
        <v>0</v>
      </c>
      <c r="P82">
        <f t="shared" si="13"/>
        <v>0</v>
      </c>
      <c r="Q82">
        <f t="shared" si="14"/>
        <v>0</v>
      </c>
      <c r="R82">
        <f t="shared" si="15"/>
        <v>0</v>
      </c>
      <c r="S82">
        <f t="shared" si="16"/>
        <v>0</v>
      </c>
      <c r="T82">
        <f t="shared" si="17"/>
        <v>0</v>
      </c>
      <c r="AA82">
        <v>621369.57999999996</v>
      </c>
      <c r="AB82">
        <v>5410</v>
      </c>
      <c r="AC82">
        <v>15</v>
      </c>
      <c r="AD82">
        <v>60881.01</v>
      </c>
      <c r="AE82">
        <v>83.9</v>
      </c>
      <c r="AF82">
        <v>0.17899999999999999</v>
      </c>
      <c r="AG82">
        <v>4.5999999999999996</v>
      </c>
      <c r="AH82">
        <v>0</v>
      </c>
      <c r="AI82">
        <f t="shared" si="18"/>
        <v>0</v>
      </c>
      <c r="AJ82">
        <f t="shared" si="19"/>
        <v>0</v>
      </c>
      <c r="AK82">
        <f t="shared" si="20"/>
        <v>0</v>
      </c>
      <c r="AL82">
        <f t="shared" si="21"/>
        <v>0</v>
      </c>
      <c r="AM82">
        <f t="shared" si="22"/>
        <v>0</v>
      </c>
      <c r="AN82">
        <f t="shared" si="23"/>
        <v>0</v>
      </c>
    </row>
    <row r="83" spans="1:40" x14ac:dyDescent="0.3">
      <c r="A83" t="s">
        <v>42</v>
      </c>
      <c r="B8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12"/>
        <v>0</v>
      </c>
      <c r="P83">
        <f t="shared" si="13"/>
        <v>0</v>
      </c>
      <c r="Q83">
        <f t="shared" si="14"/>
        <v>0</v>
      </c>
      <c r="R83">
        <f t="shared" si="15"/>
        <v>0</v>
      </c>
      <c r="S83">
        <f t="shared" si="16"/>
        <v>0</v>
      </c>
      <c r="T83">
        <f t="shared" si="17"/>
        <v>0</v>
      </c>
      <c r="AA83">
        <v>682208.01</v>
      </c>
      <c r="AB83">
        <v>4451</v>
      </c>
      <c r="AC83">
        <v>10</v>
      </c>
      <c r="AD83">
        <v>60628.38</v>
      </c>
      <c r="AE83">
        <v>89.6</v>
      </c>
      <c r="AF83">
        <v>9.5000000000000001E-2</v>
      </c>
      <c r="AG83">
        <v>4.5999999999999996</v>
      </c>
      <c r="AH83">
        <v>0</v>
      </c>
      <c r="AI83">
        <f t="shared" si="18"/>
        <v>0</v>
      </c>
      <c r="AJ83">
        <f t="shared" si="19"/>
        <v>0</v>
      </c>
      <c r="AK83">
        <f t="shared" si="20"/>
        <v>0</v>
      </c>
      <c r="AL83">
        <f t="shared" si="21"/>
        <v>0</v>
      </c>
      <c r="AM83">
        <f t="shared" si="22"/>
        <v>0</v>
      </c>
      <c r="AN83">
        <f t="shared" si="23"/>
        <v>0</v>
      </c>
    </row>
    <row r="84" spans="1:40" x14ac:dyDescent="0.3">
      <c r="A84" t="s">
        <v>42</v>
      </c>
      <c r="B84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12"/>
        <v>0</v>
      </c>
      <c r="P84">
        <f t="shared" si="13"/>
        <v>0</v>
      </c>
      <c r="Q84">
        <f t="shared" si="14"/>
        <v>0</v>
      </c>
      <c r="R84">
        <f t="shared" si="15"/>
        <v>0</v>
      </c>
      <c r="S84">
        <f t="shared" si="16"/>
        <v>0</v>
      </c>
      <c r="T84">
        <f t="shared" si="17"/>
        <v>0</v>
      </c>
      <c r="AA84">
        <v>727241.86</v>
      </c>
      <c r="AB84">
        <v>4644</v>
      </c>
      <c r="AC84">
        <v>15</v>
      </c>
      <c r="AD84">
        <v>72731.14</v>
      </c>
      <c r="AE84">
        <v>87.1</v>
      </c>
      <c r="AF84">
        <v>8.4000000000000005E-2</v>
      </c>
      <c r="AG84">
        <v>4.5999999999999996</v>
      </c>
      <c r="AH84">
        <v>0</v>
      </c>
      <c r="AI84">
        <f t="shared" si="18"/>
        <v>0</v>
      </c>
      <c r="AJ84">
        <f t="shared" si="19"/>
        <v>0</v>
      </c>
      <c r="AK84">
        <f t="shared" si="20"/>
        <v>0</v>
      </c>
      <c r="AL84">
        <f t="shared" si="21"/>
        <v>0</v>
      </c>
      <c r="AM84">
        <f t="shared" si="22"/>
        <v>0</v>
      </c>
      <c r="AN84">
        <f t="shared" si="23"/>
        <v>0</v>
      </c>
    </row>
    <row r="85" spans="1:40" x14ac:dyDescent="0.3">
      <c r="A85" t="s">
        <v>42</v>
      </c>
      <c r="B85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12"/>
        <v>0</v>
      </c>
      <c r="P85">
        <f t="shared" si="13"/>
        <v>0</v>
      </c>
      <c r="Q85">
        <f t="shared" si="14"/>
        <v>0</v>
      </c>
      <c r="R85">
        <f t="shared" si="15"/>
        <v>0</v>
      </c>
      <c r="S85">
        <f t="shared" si="16"/>
        <v>0</v>
      </c>
      <c r="T85">
        <f t="shared" si="17"/>
        <v>0</v>
      </c>
      <c r="AA85">
        <v>569100.78</v>
      </c>
      <c r="AB85">
        <v>3559</v>
      </c>
      <c r="AC85">
        <v>8</v>
      </c>
      <c r="AD85">
        <v>36475.71</v>
      </c>
      <c r="AE85">
        <v>83.6</v>
      </c>
      <c r="AF85">
        <v>0.03</v>
      </c>
      <c r="AG85">
        <v>4.2</v>
      </c>
      <c r="AH85">
        <v>0</v>
      </c>
      <c r="AI85">
        <f t="shared" si="18"/>
        <v>0</v>
      </c>
      <c r="AJ85">
        <f t="shared" si="19"/>
        <v>0</v>
      </c>
      <c r="AK85">
        <f t="shared" si="20"/>
        <v>0</v>
      </c>
      <c r="AL85">
        <f t="shared" si="21"/>
        <v>0</v>
      </c>
      <c r="AM85">
        <f t="shared" si="22"/>
        <v>0</v>
      </c>
      <c r="AN85">
        <f t="shared" si="23"/>
        <v>0</v>
      </c>
    </row>
    <row r="86" spans="1:40" x14ac:dyDescent="0.3">
      <c r="A86" t="s">
        <v>43</v>
      </c>
      <c r="B86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12"/>
        <v>0</v>
      </c>
      <c r="P86">
        <f t="shared" si="13"/>
        <v>0</v>
      </c>
      <c r="Q86">
        <f t="shared" si="14"/>
        <v>0</v>
      </c>
      <c r="R86">
        <f t="shared" si="15"/>
        <v>0</v>
      </c>
      <c r="S86">
        <f t="shared" si="16"/>
        <v>0</v>
      </c>
      <c r="T86">
        <f t="shared" si="17"/>
        <v>0</v>
      </c>
      <c r="AA86">
        <v>574436.29</v>
      </c>
      <c r="AB86">
        <v>3091</v>
      </c>
      <c r="AC86">
        <v>7</v>
      </c>
      <c r="AD86">
        <v>55388.11</v>
      </c>
      <c r="AE86">
        <v>85.4</v>
      </c>
      <c r="AF86">
        <v>0.108</v>
      </c>
      <c r="AG86">
        <v>4.9000000000000004</v>
      </c>
      <c r="AH86">
        <v>0</v>
      </c>
      <c r="AI86">
        <f t="shared" si="18"/>
        <v>0</v>
      </c>
      <c r="AJ86">
        <f t="shared" si="19"/>
        <v>0</v>
      </c>
      <c r="AK86">
        <f t="shared" si="20"/>
        <v>0</v>
      </c>
      <c r="AL86">
        <f t="shared" si="21"/>
        <v>0</v>
      </c>
      <c r="AM86">
        <f t="shared" si="22"/>
        <v>0</v>
      </c>
      <c r="AN86">
        <f t="shared" si="23"/>
        <v>0</v>
      </c>
    </row>
    <row r="87" spans="1:40" x14ac:dyDescent="0.3">
      <c r="A87" t="s">
        <v>43</v>
      </c>
      <c r="B87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</v>
      </c>
      <c r="M87">
        <v>611766.72</v>
      </c>
      <c r="N87">
        <v>88275.61</v>
      </c>
      <c r="O87">
        <f t="shared" si="12"/>
        <v>0</v>
      </c>
      <c r="P87">
        <f t="shared" si="13"/>
        <v>0</v>
      </c>
      <c r="Q87">
        <f t="shared" si="14"/>
        <v>0</v>
      </c>
      <c r="R87">
        <f t="shared" si="15"/>
        <v>0</v>
      </c>
      <c r="S87">
        <f t="shared" si="16"/>
        <v>0</v>
      </c>
      <c r="T87">
        <f t="shared" si="17"/>
        <v>0</v>
      </c>
      <c r="AA87">
        <v>611766.72</v>
      </c>
      <c r="AB87">
        <v>4004</v>
      </c>
      <c r="AC87">
        <v>11</v>
      </c>
      <c r="AD87">
        <v>88443.77</v>
      </c>
      <c r="AE87">
        <v>91.9</v>
      </c>
      <c r="AF87">
        <v>0.20599999999999999</v>
      </c>
      <c r="AG87">
        <v>3.9</v>
      </c>
      <c r="AH87">
        <v>0</v>
      </c>
      <c r="AI87">
        <f t="shared" si="18"/>
        <v>0</v>
      </c>
      <c r="AJ87">
        <f t="shared" si="19"/>
        <v>0</v>
      </c>
      <c r="AK87">
        <f t="shared" si="20"/>
        <v>0</v>
      </c>
      <c r="AL87">
        <f t="shared" si="21"/>
        <v>0</v>
      </c>
      <c r="AM87">
        <f t="shared" si="22"/>
        <v>0</v>
      </c>
      <c r="AN87">
        <f t="shared" si="23"/>
        <v>0</v>
      </c>
    </row>
    <row r="88" spans="1:40" x14ac:dyDescent="0.3">
      <c r="A88" t="s">
        <v>43</v>
      </c>
      <c r="B88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12"/>
        <v>0</v>
      </c>
      <c r="P88">
        <f t="shared" si="13"/>
        <v>0</v>
      </c>
      <c r="Q88">
        <f t="shared" si="14"/>
        <v>0</v>
      </c>
      <c r="R88">
        <f t="shared" si="15"/>
        <v>0</v>
      </c>
      <c r="S88">
        <f t="shared" si="16"/>
        <v>0</v>
      </c>
      <c r="T88">
        <f t="shared" si="17"/>
        <v>0</v>
      </c>
      <c r="AA88">
        <v>614596.31999999995</v>
      </c>
      <c r="AB88">
        <v>3788</v>
      </c>
      <c r="AC88">
        <v>11</v>
      </c>
      <c r="AD88">
        <v>78231.91</v>
      </c>
      <c r="AE88">
        <v>88.5</v>
      </c>
      <c r="AF88">
        <v>5.8999999999999997E-2</v>
      </c>
      <c r="AG88">
        <v>4.3</v>
      </c>
      <c r="AH88">
        <v>0</v>
      </c>
      <c r="AI88">
        <f t="shared" si="18"/>
        <v>0</v>
      </c>
      <c r="AJ88">
        <f t="shared" si="19"/>
        <v>0</v>
      </c>
      <c r="AK88">
        <f t="shared" si="20"/>
        <v>0</v>
      </c>
      <c r="AL88">
        <f t="shared" si="21"/>
        <v>0</v>
      </c>
      <c r="AM88">
        <f t="shared" si="22"/>
        <v>0</v>
      </c>
      <c r="AN88">
        <f t="shared" si="23"/>
        <v>0</v>
      </c>
    </row>
    <row r="89" spans="1:40" x14ac:dyDescent="0.3">
      <c r="A89" t="s">
        <v>43</v>
      </c>
      <c r="B89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12"/>
        <v>0</v>
      </c>
      <c r="P89">
        <f t="shared" si="13"/>
        <v>0</v>
      </c>
      <c r="Q89">
        <f t="shared" si="14"/>
        <v>0</v>
      </c>
      <c r="R89">
        <f t="shared" si="15"/>
        <v>0</v>
      </c>
      <c r="S89">
        <f t="shared" si="16"/>
        <v>0</v>
      </c>
      <c r="T89">
        <f t="shared" si="17"/>
        <v>0</v>
      </c>
      <c r="AA89">
        <v>450711.92</v>
      </c>
      <c r="AB89">
        <v>1260</v>
      </c>
      <c r="AC89">
        <v>9</v>
      </c>
      <c r="AD89">
        <v>18996.32</v>
      </c>
      <c r="AE89">
        <v>86.4</v>
      </c>
      <c r="AF89">
        <v>0.14499999999999999</v>
      </c>
      <c r="AG89">
        <v>4.5999999999999996</v>
      </c>
      <c r="AH89">
        <v>0</v>
      </c>
      <c r="AI89">
        <f t="shared" si="18"/>
        <v>0</v>
      </c>
      <c r="AJ89">
        <f t="shared" si="19"/>
        <v>0</v>
      </c>
      <c r="AK89">
        <f t="shared" si="20"/>
        <v>0</v>
      </c>
      <c r="AL89">
        <f t="shared" si="21"/>
        <v>0</v>
      </c>
      <c r="AM89">
        <f t="shared" si="22"/>
        <v>0</v>
      </c>
      <c r="AN89">
        <f t="shared" si="23"/>
        <v>0</v>
      </c>
    </row>
    <row r="90" spans="1:40" x14ac:dyDescent="0.3">
      <c r="A90" t="s">
        <v>44</v>
      </c>
      <c r="B90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12"/>
        <v>0</v>
      </c>
      <c r="P90">
        <f t="shared" si="13"/>
        <v>0</v>
      </c>
      <c r="Q90">
        <f t="shared" si="14"/>
        <v>0</v>
      </c>
      <c r="R90">
        <f t="shared" si="15"/>
        <v>0</v>
      </c>
      <c r="S90">
        <f t="shared" si="16"/>
        <v>0</v>
      </c>
      <c r="T90">
        <f t="shared" si="17"/>
        <v>0</v>
      </c>
      <c r="AA90">
        <v>711213.46</v>
      </c>
      <c r="AB90">
        <v>7024</v>
      </c>
      <c r="AC90">
        <v>18</v>
      </c>
      <c r="AD90">
        <v>50517.94</v>
      </c>
      <c r="AE90">
        <v>79.2</v>
      </c>
      <c r="AF90">
        <v>2.9000000000000001E-2</v>
      </c>
      <c r="AG90">
        <v>4.0999999999999996</v>
      </c>
      <c r="AH90">
        <v>1</v>
      </c>
      <c r="AI90">
        <f t="shared" si="18"/>
        <v>0</v>
      </c>
      <c r="AJ90">
        <f t="shared" si="19"/>
        <v>0</v>
      </c>
      <c r="AK90">
        <f t="shared" si="20"/>
        <v>0</v>
      </c>
      <c r="AL90">
        <f t="shared" si="21"/>
        <v>0</v>
      </c>
      <c r="AM90">
        <f t="shared" si="22"/>
        <v>0</v>
      </c>
      <c r="AN90">
        <f t="shared" si="23"/>
        <v>0</v>
      </c>
    </row>
    <row r="91" spans="1:40" x14ac:dyDescent="0.3">
      <c r="A91" t="s">
        <v>44</v>
      </c>
      <c r="B91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12"/>
        <v>0</v>
      </c>
      <c r="P91">
        <f t="shared" si="13"/>
        <v>0</v>
      </c>
      <c r="Q91">
        <f t="shared" si="14"/>
        <v>0</v>
      </c>
      <c r="R91">
        <f t="shared" si="15"/>
        <v>0</v>
      </c>
      <c r="S91">
        <f t="shared" si="16"/>
        <v>0</v>
      </c>
      <c r="T91">
        <f t="shared" si="17"/>
        <v>0</v>
      </c>
      <c r="AA91">
        <v>627171.9</v>
      </c>
      <c r="AB91">
        <v>5400</v>
      </c>
      <c r="AC91">
        <v>12</v>
      </c>
      <c r="AD91">
        <v>141540.29</v>
      </c>
      <c r="AE91">
        <v>87</v>
      </c>
      <c r="AF91">
        <v>1.2999999999999999E-2</v>
      </c>
      <c r="AG91">
        <v>4.5</v>
      </c>
      <c r="AH91">
        <v>0</v>
      </c>
      <c r="AI91">
        <f t="shared" si="18"/>
        <v>0</v>
      </c>
      <c r="AJ91">
        <f t="shared" si="19"/>
        <v>0</v>
      </c>
      <c r="AK91">
        <f t="shared" si="20"/>
        <v>0</v>
      </c>
      <c r="AL91">
        <f t="shared" si="21"/>
        <v>0</v>
      </c>
      <c r="AM91">
        <f t="shared" si="22"/>
        <v>0</v>
      </c>
      <c r="AN91">
        <f t="shared" si="23"/>
        <v>0</v>
      </c>
    </row>
    <row r="92" spans="1:40" x14ac:dyDescent="0.3">
      <c r="A92" t="s">
        <v>44</v>
      </c>
      <c r="B9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12"/>
        <v>0</v>
      </c>
      <c r="P92">
        <f t="shared" si="13"/>
        <v>0</v>
      </c>
      <c r="Q92">
        <f t="shared" si="14"/>
        <v>0</v>
      </c>
      <c r="R92">
        <f t="shared" si="15"/>
        <v>0</v>
      </c>
      <c r="S92">
        <f t="shared" si="16"/>
        <v>0</v>
      </c>
      <c r="T92">
        <f t="shared" si="17"/>
        <v>0</v>
      </c>
      <c r="AA92">
        <v>739852.58</v>
      </c>
      <c r="AB92">
        <v>5988</v>
      </c>
      <c r="AC92">
        <v>17</v>
      </c>
      <c r="AD92">
        <v>82116.19</v>
      </c>
      <c r="AE92">
        <v>91.8</v>
      </c>
      <c r="AF92">
        <v>0.04</v>
      </c>
      <c r="AG92">
        <v>4.7</v>
      </c>
      <c r="AH92">
        <v>0</v>
      </c>
      <c r="AI92">
        <f t="shared" si="18"/>
        <v>0</v>
      </c>
      <c r="AJ92">
        <f t="shared" si="19"/>
        <v>0</v>
      </c>
      <c r="AK92">
        <f t="shared" si="20"/>
        <v>0</v>
      </c>
      <c r="AL92">
        <f t="shared" si="21"/>
        <v>0</v>
      </c>
      <c r="AM92">
        <f t="shared" si="22"/>
        <v>0</v>
      </c>
      <c r="AN92">
        <f t="shared" si="23"/>
        <v>0</v>
      </c>
    </row>
    <row r="93" spans="1:40" x14ac:dyDescent="0.3">
      <c r="A93" t="s">
        <v>44</v>
      </c>
      <c r="B9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12"/>
        <v>0</v>
      </c>
      <c r="P93">
        <f t="shared" si="13"/>
        <v>0</v>
      </c>
      <c r="Q93">
        <f t="shared" si="14"/>
        <v>0</v>
      </c>
      <c r="R93">
        <f t="shared" si="15"/>
        <v>0</v>
      </c>
      <c r="S93">
        <f t="shared" si="16"/>
        <v>0</v>
      </c>
      <c r="T93">
        <f t="shared" si="17"/>
        <v>0</v>
      </c>
      <c r="AA93">
        <v>586307.22</v>
      </c>
      <c r="AB93">
        <v>3701</v>
      </c>
      <c r="AC93">
        <v>11</v>
      </c>
      <c r="AD93">
        <v>31207.51</v>
      </c>
      <c r="AE93">
        <v>84.7</v>
      </c>
      <c r="AF93">
        <v>4.2999999999999997E-2</v>
      </c>
      <c r="AG93">
        <v>4.3</v>
      </c>
      <c r="AH93">
        <v>0</v>
      </c>
      <c r="AI93">
        <f t="shared" si="18"/>
        <v>0</v>
      </c>
      <c r="AJ93">
        <f t="shared" si="19"/>
        <v>0</v>
      </c>
      <c r="AK93">
        <f t="shared" si="20"/>
        <v>0</v>
      </c>
      <c r="AL93">
        <f t="shared" si="21"/>
        <v>0</v>
      </c>
      <c r="AM93">
        <f t="shared" si="22"/>
        <v>0</v>
      </c>
      <c r="AN93">
        <f t="shared" si="23"/>
        <v>0</v>
      </c>
    </row>
    <row r="94" spans="1:40" x14ac:dyDescent="0.3">
      <c r="A94" t="s">
        <v>45</v>
      </c>
      <c r="B94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12"/>
        <v>0</v>
      </c>
      <c r="P94">
        <f t="shared" si="13"/>
        <v>0</v>
      </c>
      <c r="Q94">
        <f t="shared" si="14"/>
        <v>0</v>
      </c>
      <c r="R94">
        <f t="shared" si="15"/>
        <v>0</v>
      </c>
      <c r="S94">
        <f t="shared" si="16"/>
        <v>0</v>
      </c>
      <c r="T94">
        <f t="shared" si="17"/>
        <v>0</v>
      </c>
      <c r="AA94">
        <v>585937.48</v>
      </c>
      <c r="AB94">
        <v>4509</v>
      </c>
      <c r="AC94">
        <v>14</v>
      </c>
      <c r="AD94">
        <v>38966.589999999997</v>
      </c>
      <c r="AE94">
        <v>91.1</v>
      </c>
      <c r="AF94">
        <v>0.19400000000000001</v>
      </c>
      <c r="AG94">
        <v>4.5999999999999996</v>
      </c>
      <c r="AH94">
        <v>0</v>
      </c>
      <c r="AI94">
        <f t="shared" si="18"/>
        <v>0</v>
      </c>
      <c r="AJ94">
        <f t="shared" si="19"/>
        <v>0</v>
      </c>
      <c r="AK94">
        <f t="shared" si="20"/>
        <v>0</v>
      </c>
      <c r="AL94">
        <f t="shared" si="21"/>
        <v>0</v>
      </c>
      <c r="AM94">
        <f t="shared" si="22"/>
        <v>0</v>
      </c>
      <c r="AN94">
        <f t="shared" si="23"/>
        <v>0</v>
      </c>
    </row>
    <row r="95" spans="1:40" x14ac:dyDescent="0.3">
      <c r="A95" t="s">
        <v>45</v>
      </c>
      <c r="B95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12"/>
        <v>0</v>
      </c>
      <c r="P95">
        <f t="shared" si="13"/>
        <v>0</v>
      </c>
      <c r="Q95">
        <f t="shared" si="14"/>
        <v>0</v>
      </c>
      <c r="R95">
        <f t="shared" si="15"/>
        <v>0</v>
      </c>
      <c r="S95">
        <f t="shared" si="16"/>
        <v>0</v>
      </c>
      <c r="T95">
        <f t="shared" si="17"/>
        <v>0</v>
      </c>
      <c r="AA95">
        <v>753473.55</v>
      </c>
      <c r="AB95">
        <v>6477</v>
      </c>
      <c r="AC95">
        <v>16</v>
      </c>
      <c r="AD95">
        <v>67439.3</v>
      </c>
      <c r="AE95">
        <v>90.9</v>
      </c>
      <c r="AF95">
        <v>0</v>
      </c>
      <c r="AG95">
        <v>4.5</v>
      </c>
      <c r="AH95">
        <v>0</v>
      </c>
      <c r="AI95">
        <f t="shared" si="18"/>
        <v>0</v>
      </c>
      <c r="AJ95">
        <f t="shared" si="19"/>
        <v>0</v>
      </c>
      <c r="AK95">
        <f t="shared" si="20"/>
        <v>0</v>
      </c>
      <c r="AL95">
        <f t="shared" si="21"/>
        <v>0</v>
      </c>
      <c r="AM95">
        <f t="shared" si="22"/>
        <v>0</v>
      </c>
      <c r="AN95">
        <f t="shared" si="23"/>
        <v>0</v>
      </c>
    </row>
    <row r="96" spans="1:40" x14ac:dyDescent="0.3">
      <c r="A96" t="s">
        <v>45</v>
      </c>
      <c r="B96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12"/>
        <v>0</v>
      </c>
      <c r="P96">
        <f t="shared" si="13"/>
        <v>0</v>
      </c>
      <c r="Q96">
        <f t="shared" si="14"/>
        <v>0</v>
      </c>
      <c r="R96">
        <f t="shared" si="15"/>
        <v>0</v>
      </c>
      <c r="S96">
        <f t="shared" si="16"/>
        <v>0</v>
      </c>
      <c r="T96">
        <f t="shared" si="17"/>
        <v>0</v>
      </c>
      <c r="AA96">
        <v>838250.32</v>
      </c>
      <c r="AB96">
        <v>7970</v>
      </c>
      <c r="AC96">
        <v>17</v>
      </c>
      <c r="AD96">
        <v>86421.88</v>
      </c>
      <c r="AE96">
        <v>91.3</v>
      </c>
      <c r="AF96">
        <v>7.2999999999999995E-2</v>
      </c>
      <c r="AG96">
        <v>5</v>
      </c>
      <c r="AH96">
        <v>0</v>
      </c>
      <c r="AI96">
        <f t="shared" si="18"/>
        <v>0</v>
      </c>
      <c r="AJ96">
        <f t="shared" si="19"/>
        <v>0</v>
      </c>
      <c r="AK96">
        <f t="shared" si="20"/>
        <v>0</v>
      </c>
      <c r="AL96">
        <f t="shared" si="21"/>
        <v>0</v>
      </c>
      <c r="AM96">
        <f t="shared" si="22"/>
        <v>0</v>
      </c>
      <c r="AN96">
        <f t="shared" si="23"/>
        <v>0</v>
      </c>
    </row>
    <row r="97" spans="1:40" x14ac:dyDescent="0.3">
      <c r="A97" t="s">
        <v>45</v>
      </c>
      <c r="B97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12"/>
        <v>0</v>
      </c>
      <c r="P97">
        <f t="shared" si="13"/>
        <v>0</v>
      </c>
      <c r="Q97">
        <f t="shared" si="14"/>
        <v>0</v>
      </c>
      <c r="R97">
        <f t="shared" si="15"/>
        <v>0</v>
      </c>
      <c r="S97">
        <f t="shared" si="16"/>
        <v>0</v>
      </c>
      <c r="T97">
        <f t="shared" si="17"/>
        <v>0</v>
      </c>
      <c r="AA97">
        <v>607898.12</v>
      </c>
      <c r="AB97">
        <v>6057</v>
      </c>
      <c r="AC97">
        <v>15</v>
      </c>
      <c r="AD97">
        <v>9534.65</v>
      </c>
      <c r="AE97">
        <v>94.1</v>
      </c>
      <c r="AF97">
        <v>7.3999999999999996E-2</v>
      </c>
      <c r="AG97">
        <v>4.5</v>
      </c>
      <c r="AH97">
        <v>0</v>
      </c>
      <c r="AI97">
        <f t="shared" si="18"/>
        <v>0</v>
      </c>
      <c r="AJ97">
        <f t="shared" si="19"/>
        <v>0</v>
      </c>
      <c r="AK97">
        <f t="shared" si="20"/>
        <v>0</v>
      </c>
      <c r="AL97">
        <f t="shared" si="21"/>
        <v>0</v>
      </c>
      <c r="AM97">
        <f t="shared" si="22"/>
        <v>0</v>
      </c>
      <c r="AN97">
        <f t="shared" si="23"/>
        <v>0</v>
      </c>
    </row>
    <row r="98" spans="1:40" x14ac:dyDescent="0.3">
      <c r="A98" t="s">
        <v>46</v>
      </c>
      <c r="B98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12"/>
        <v>0</v>
      </c>
      <c r="P98">
        <f t="shared" si="13"/>
        <v>0</v>
      </c>
      <c r="Q98">
        <f t="shared" si="14"/>
        <v>0</v>
      </c>
      <c r="R98">
        <f t="shared" si="15"/>
        <v>0</v>
      </c>
      <c r="S98">
        <f t="shared" si="16"/>
        <v>0</v>
      </c>
      <c r="T98">
        <f t="shared" si="17"/>
        <v>0</v>
      </c>
      <c r="AA98">
        <v>691113.62</v>
      </c>
      <c r="AB98">
        <v>6394</v>
      </c>
      <c r="AC98">
        <v>19</v>
      </c>
      <c r="AD98">
        <v>61132.07</v>
      </c>
      <c r="AE98">
        <v>91</v>
      </c>
      <c r="AF98">
        <v>0.16300000000000001</v>
      </c>
      <c r="AG98">
        <v>4.4000000000000004</v>
      </c>
      <c r="AH98">
        <v>0</v>
      </c>
      <c r="AI98">
        <f t="shared" si="18"/>
        <v>0</v>
      </c>
      <c r="AJ98">
        <f t="shared" si="19"/>
        <v>0</v>
      </c>
      <c r="AK98">
        <f t="shared" si="20"/>
        <v>0</v>
      </c>
      <c r="AL98">
        <f t="shared" si="21"/>
        <v>0</v>
      </c>
      <c r="AM98">
        <f t="shared" si="22"/>
        <v>0</v>
      </c>
      <c r="AN98">
        <f t="shared" si="23"/>
        <v>0</v>
      </c>
    </row>
    <row r="99" spans="1:40" x14ac:dyDescent="0.3">
      <c r="A99" t="s">
        <v>46</v>
      </c>
      <c r="B99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12"/>
        <v>0</v>
      </c>
      <c r="P99">
        <f t="shared" si="13"/>
        <v>0</v>
      </c>
      <c r="Q99">
        <f t="shared" si="14"/>
        <v>0</v>
      </c>
      <c r="R99">
        <f t="shared" si="15"/>
        <v>0</v>
      </c>
      <c r="S99">
        <f t="shared" si="16"/>
        <v>0</v>
      </c>
      <c r="T99">
        <f t="shared" si="17"/>
        <v>0</v>
      </c>
      <c r="AA99">
        <v>735509.4</v>
      </c>
      <c r="AB99">
        <v>5150</v>
      </c>
      <c r="AC99">
        <v>13</v>
      </c>
      <c r="AD99">
        <v>78839.39</v>
      </c>
      <c r="AE99">
        <v>85.8</v>
      </c>
      <c r="AF99">
        <v>0.17100000000000001</v>
      </c>
      <c r="AG99">
        <v>4.3</v>
      </c>
      <c r="AH99">
        <v>0</v>
      </c>
      <c r="AI99">
        <f t="shared" si="18"/>
        <v>0</v>
      </c>
      <c r="AJ99">
        <f t="shared" si="19"/>
        <v>0</v>
      </c>
      <c r="AK99">
        <f t="shared" si="20"/>
        <v>0</v>
      </c>
      <c r="AL99">
        <f t="shared" si="21"/>
        <v>0</v>
      </c>
      <c r="AM99">
        <f t="shared" si="22"/>
        <v>0</v>
      </c>
      <c r="AN99">
        <f t="shared" si="23"/>
        <v>0</v>
      </c>
    </row>
    <row r="100" spans="1:40" x14ac:dyDescent="0.3">
      <c r="A100" t="s">
        <v>46</v>
      </c>
      <c r="B100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3.37</v>
      </c>
      <c r="K100">
        <v>0</v>
      </c>
      <c r="L100">
        <v>4.3</v>
      </c>
      <c r="M100">
        <v>605775.32999999996</v>
      </c>
      <c r="N100">
        <v>107194.6</v>
      </c>
      <c r="O100">
        <f t="shared" si="12"/>
        <v>0</v>
      </c>
      <c r="P100">
        <f t="shared" si="13"/>
        <v>0</v>
      </c>
      <c r="Q100">
        <f t="shared" si="14"/>
        <v>0</v>
      </c>
      <c r="R100">
        <f t="shared" si="15"/>
        <v>0</v>
      </c>
      <c r="S100">
        <f t="shared" si="16"/>
        <v>0</v>
      </c>
      <c r="T100">
        <f t="shared" si="17"/>
        <v>0</v>
      </c>
      <c r="AA100">
        <v>605775.32999999996</v>
      </c>
      <c r="AB100">
        <v>4712</v>
      </c>
      <c r="AC100">
        <v>15</v>
      </c>
      <c r="AD100">
        <v>38752.800000000003</v>
      </c>
      <c r="AE100">
        <v>89.7</v>
      </c>
      <c r="AF100">
        <v>7.4999999999999997E-2</v>
      </c>
      <c r="AG100">
        <v>4.3</v>
      </c>
      <c r="AH100">
        <v>0</v>
      </c>
      <c r="AI100">
        <f t="shared" si="18"/>
        <v>0</v>
      </c>
      <c r="AJ100">
        <f t="shared" si="19"/>
        <v>0</v>
      </c>
      <c r="AK100">
        <f t="shared" si="20"/>
        <v>0</v>
      </c>
      <c r="AL100">
        <f t="shared" si="21"/>
        <v>0</v>
      </c>
      <c r="AM100">
        <f t="shared" si="22"/>
        <v>0</v>
      </c>
      <c r="AN100">
        <f t="shared" si="23"/>
        <v>0</v>
      </c>
    </row>
    <row r="101" spans="1:40" x14ac:dyDescent="0.3">
      <c r="A101" t="s">
        <v>46</v>
      </c>
      <c r="B101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12"/>
        <v>0</v>
      </c>
      <c r="P101">
        <f t="shared" si="13"/>
        <v>0</v>
      </c>
      <c r="Q101">
        <f t="shared" si="14"/>
        <v>0</v>
      </c>
      <c r="R101">
        <f t="shared" si="15"/>
        <v>0</v>
      </c>
      <c r="S101">
        <f t="shared" si="16"/>
        <v>0</v>
      </c>
      <c r="T101">
        <f t="shared" si="17"/>
        <v>0</v>
      </c>
      <c r="AA101">
        <v>675177.68</v>
      </c>
      <c r="AB101">
        <v>5281</v>
      </c>
      <c r="AC101">
        <v>11</v>
      </c>
      <c r="AD101">
        <v>55101.1</v>
      </c>
      <c r="AE101">
        <v>91</v>
      </c>
      <c r="AF101">
        <v>0.189</v>
      </c>
      <c r="AG101">
        <v>4.4000000000000004</v>
      </c>
      <c r="AH101">
        <v>0</v>
      </c>
      <c r="AI101">
        <f t="shared" si="18"/>
        <v>0</v>
      </c>
      <c r="AJ101">
        <f t="shared" si="19"/>
        <v>0</v>
      </c>
      <c r="AK101">
        <f t="shared" si="20"/>
        <v>0</v>
      </c>
      <c r="AL101">
        <f t="shared" si="21"/>
        <v>0</v>
      </c>
      <c r="AM101">
        <f t="shared" si="22"/>
        <v>0</v>
      </c>
      <c r="AN101">
        <f t="shared" si="23"/>
        <v>0</v>
      </c>
    </row>
    <row r="102" spans="1:40" x14ac:dyDescent="0.3">
      <c r="A102" t="s">
        <v>47</v>
      </c>
      <c r="B10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12"/>
        <v>0</v>
      </c>
      <c r="P102">
        <f t="shared" si="13"/>
        <v>0</v>
      </c>
      <c r="Q102">
        <f t="shared" si="14"/>
        <v>0</v>
      </c>
      <c r="R102">
        <f t="shared" si="15"/>
        <v>0</v>
      </c>
      <c r="S102">
        <f t="shared" si="16"/>
        <v>0</v>
      </c>
      <c r="T102">
        <f t="shared" si="17"/>
        <v>0</v>
      </c>
      <c r="AA102">
        <v>635181.35</v>
      </c>
      <c r="AB102">
        <v>3642</v>
      </c>
      <c r="AC102">
        <v>12</v>
      </c>
      <c r="AD102">
        <v>53084.76</v>
      </c>
      <c r="AE102">
        <v>91.4</v>
      </c>
      <c r="AF102">
        <v>0.15</v>
      </c>
      <c r="AG102">
        <v>4.4000000000000004</v>
      </c>
      <c r="AH102">
        <v>0</v>
      </c>
      <c r="AI102">
        <f t="shared" si="18"/>
        <v>0</v>
      </c>
      <c r="AJ102">
        <f t="shared" si="19"/>
        <v>0</v>
      </c>
      <c r="AK102">
        <f t="shared" si="20"/>
        <v>0</v>
      </c>
      <c r="AL102">
        <f t="shared" si="21"/>
        <v>0</v>
      </c>
      <c r="AM102">
        <f t="shared" si="22"/>
        <v>0</v>
      </c>
      <c r="AN102">
        <f t="shared" si="23"/>
        <v>0</v>
      </c>
    </row>
    <row r="103" spans="1:40" x14ac:dyDescent="0.3">
      <c r="A103" t="s">
        <v>47</v>
      </c>
      <c r="B10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12"/>
        <v>0</v>
      </c>
      <c r="P103">
        <f t="shared" si="13"/>
        <v>0</v>
      </c>
      <c r="Q103">
        <f t="shared" si="14"/>
        <v>0</v>
      </c>
      <c r="R103">
        <f t="shared" si="15"/>
        <v>0</v>
      </c>
      <c r="S103">
        <f t="shared" si="16"/>
        <v>0</v>
      </c>
      <c r="T103">
        <f t="shared" si="17"/>
        <v>0</v>
      </c>
      <c r="AA103">
        <v>586626.93999999994</v>
      </c>
      <c r="AB103">
        <v>4373</v>
      </c>
      <c r="AC103">
        <v>14</v>
      </c>
      <c r="AD103">
        <v>63101.59</v>
      </c>
      <c r="AE103">
        <v>90.4</v>
      </c>
      <c r="AF103">
        <v>0.17299999999999999</v>
      </c>
      <c r="AG103">
        <v>4.7</v>
      </c>
      <c r="AH103">
        <v>0</v>
      </c>
      <c r="AI103">
        <f t="shared" si="18"/>
        <v>0</v>
      </c>
      <c r="AJ103">
        <f t="shared" si="19"/>
        <v>0</v>
      </c>
      <c r="AK103">
        <f t="shared" si="20"/>
        <v>0</v>
      </c>
      <c r="AL103">
        <f t="shared" si="21"/>
        <v>0</v>
      </c>
      <c r="AM103">
        <f t="shared" si="22"/>
        <v>0</v>
      </c>
      <c r="AN103">
        <f t="shared" si="23"/>
        <v>0</v>
      </c>
    </row>
    <row r="104" spans="1:40" x14ac:dyDescent="0.3">
      <c r="A104" t="s">
        <v>47</v>
      </c>
      <c r="B104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12"/>
        <v>0</v>
      </c>
      <c r="P104">
        <f t="shared" si="13"/>
        <v>0</v>
      </c>
      <c r="Q104">
        <f t="shared" si="14"/>
        <v>0</v>
      </c>
      <c r="R104">
        <f t="shared" si="15"/>
        <v>0</v>
      </c>
      <c r="S104">
        <f t="shared" si="16"/>
        <v>0</v>
      </c>
      <c r="T104">
        <f t="shared" si="17"/>
        <v>0</v>
      </c>
      <c r="AA104">
        <v>740102.64</v>
      </c>
      <c r="AB104">
        <v>6832</v>
      </c>
      <c r="AC104">
        <v>14</v>
      </c>
      <c r="AD104">
        <v>90084.4</v>
      </c>
      <c r="AE104">
        <v>80.5</v>
      </c>
      <c r="AF104">
        <v>0.185</v>
      </c>
      <c r="AG104">
        <v>4.4000000000000004</v>
      </c>
      <c r="AH104">
        <v>1</v>
      </c>
      <c r="AI104">
        <f t="shared" si="18"/>
        <v>0</v>
      </c>
      <c r="AJ104">
        <f t="shared" si="19"/>
        <v>0</v>
      </c>
      <c r="AK104">
        <f t="shared" si="20"/>
        <v>0</v>
      </c>
      <c r="AL104">
        <f t="shared" si="21"/>
        <v>0</v>
      </c>
      <c r="AM104">
        <f t="shared" si="22"/>
        <v>0</v>
      </c>
      <c r="AN104">
        <f t="shared" si="23"/>
        <v>0</v>
      </c>
    </row>
    <row r="105" spans="1:40" x14ac:dyDescent="0.3">
      <c r="A105" t="s">
        <v>47</v>
      </c>
      <c r="B105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12"/>
        <v>0</v>
      </c>
      <c r="P105">
        <f t="shared" si="13"/>
        <v>0</v>
      </c>
      <c r="Q105">
        <f t="shared" si="14"/>
        <v>0</v>
      </c>
      <c r="R105">
        <f t="shared" si="15"/>
        <v>0</v>
      </c>
      <c r="S105">
        <f t="shared" si="16"/>
        <v>0</v>
      </c>
      <c r="T105">
        <f t="shared" si="17"/>
        <v>0</v>
      </c>
      <c r="AA105">
        <v>625514.04</v>
      </c>
      <c r="AB105">
        <v>2414</v>
      </c>
      <c r="AC105">
        <v>7</v>
      </c>
      <c r="AD105">
        <v>32266.639999999999</v>
      </c>
      <c r="AE105">
        <v>92.1</v>
      </c>
      <c r="AF105">
        <v>0.08</v>
      </c>
      <c r="AG105">
        <v>5</v>
      </c>
      <c r="AH105">
        <v>0</v>
      </c>
      <c r="AI105">
        <f t="shared" si="18"/>
        <v>0</v>
      </c>
      <c r="AJ105">
        <f t="shared" si="19"/>
        <v>0</v>
      </c>
      <c r="AK105">
        <f t="shared" si="20"/>
        <v>0</v>
      </c>
      <c r="AL105">
        <f t="shared" si="21"/>
        <v>0</v>
      </c>
      <c r="AM105">
        <f t="shared" si="22"/>
        <v>0</v>
      </c>
      <c r="AN105">
        <f t="shared" si="23"/>
        <v>0</v>
      </c>
    </row>
    <row r="106" spans="1:40" x14ac:dyDescent="0.3">
      <c r="A106" t="s">
        <v>48</v>
      </c>
      <c r="B106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12"/>
        <v>0</v>
      </c>
      <c r="P106">
        <f t="shared" si="13"/>
        <v>0</v>
      </c>
      <c r="Q106">
        <f t="shared" si="14"/>
        <v>0</v>
      </c>
      <c r="R106">
        <f t="shared" si="15"/>
        <v>0</v>
      </c>
      <c r="S106">
        <f t="shared" si="16"/>
        <v>0</v>
      </c>
      <c r="T106">
        <f t="shared" si="17"/>
        <v>0</v>
      </c>
      <c r="AA106">
        <v>727227.2</v>
      </c>
      <c r="AB106">
        <v>7374</v>
      </c>
      <c r="AC106">
        <v>21</v>
      </c>
      <c r="AD106">
        <v>57919.07</v>
      </c>
      <c r="AE106">
        <v>82.3</v>
      </c>
      <c r="AF106">
        <v>0.10299999999999999</v>
      </c>
      <c r="AG106">
        <v>2.9</v>
      </c>
      <c r="AH106">
        <v>0</v>
      </c>
      <c r="AI106">
        <f t="shared" si="18"/>
        <v>0</v>
      </c>
      <c r="AJ106">
        <f t="shared" si="19"/>
        <v>0</v>
      </c>
      <c r="AK106">
        <f t="shared" si="20"/>
        <v>0</v>
      </c>
      <c r="AL106">
        <f t="shared" si="21"/>
        <v>0</v>
      </c>
      <c r="AM106">
        <f t="shared" si="22"/>
        <v>0</v>
      </c>
      <c r="AN106">
        <f t="shared" si="23"/>
        <v>0</v>
      </c>
    </row>
    <row r="107" spans="1:40" x14ac:dyDescent="0.3">
      <c r="A107" t="s">
        <v>48</v>
      </c>
      <c r="B107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12"/>
        <v>0</v>
      </c>
      <c r="P107">
        <f t="shared" si="13"/>
        <v>0</v>
      </c>
      <c r="Q107">
        <f t="shared" si="14"/>
        <v>0</v>
      </c>
      <c r="R107">
        <f t="shared" si="15"/>
        <v>0</v>
      </c>
      <c r="S107">
        <f t="shared" si="16"/>
        <v>0</v>
      </c>
      <c r="T107">
        <f t="shared" si="17"/>
        <v>0</v>
      </c>
      <c r="AA107">
        <v>783797.89</v>
      </c>
      <c r="AB107">
        <v>8739</v>
      </c>
      <c r="AC107">
        <v>21</v>
      </c>
      <c r="AD107">
        <v>74679.350000000006</v>
      </c>
      <c r="AE107">
        <v>91.8</v>
      </c>
      <c r="AF107">
        <v>5.6000000000000001E-2</v>
      </c>
      <c r="AG107">
        <v>3</v>
      </c>
      <c r="AH107">
        <v>0</v>
      </c>
      <c r="AI107">
        <f t="shared" si="18"/>
        <v>0</v>
      </c>
      <c r="AJ107">
        <f t="shared" si="19"/>
        <v>0</v>
      </c>
      <c r="AK107">
        <f t="shared" si="20"/>
        <v>0</v>
      </c>
      <c r="AL107">
        <f t="shared" si="21"/>
        <v>0</v>
      </c>
      <c r="AM107">
        <f t="shared" si="22"/>
        <v>0</v>
      </c>
      <c r="AN107">
        <f t="shared" si="23"/>
        <v>0</v>
      </c>
    </row>
    <row r="108" spans="1:40" x14ac:dyDescent="0.3">
      <c r="A108" t="s">
        <v>48</v>
      </c>
      <c r="B108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12"/>
        <v>0</v>
      </c>
      <c r="P108">
        <f t="shared" si="13"/>
        <v>0</v>
      </c>
      <c r="Q108">
        <f t="shared" si="14"/>
        <v>0</v>
      </c>
      <c r="R108">
        <f t="shared" si="15"/>
        <v>0</v>
      </c>
      <c r="S108">
        <f t="shared" si="16"/>
        <v>0</v>
      </c>
      <c r="T108">
        <f t="shared" si="17"/>
        <v>0</v>
      </c>
      <c r="AA108">
        <v>795153.84</v>
      </c>
      <c r="AB108">
        <v>6992</v>
      </c>
      <c r="AC108">
        <v>14</v>
      </c>
      <c r="AD108">
        <v>64294.23</v>
      </c>
      <c r="AE108">
        <v>94.1</v>
      </c>
      <c r="AF108">
        <v>0.13300000000000001</v>
      </c>
      <c r="AG108">
        <v>3</v>
      </c>
      <c r="AH108">
        <v>0</v>
      </c>
      <c r="AI108">
        <f t="shared" si="18"/>
        <v>0</v>
      </c>
      <c r="AJ108">
        <f t="shared" si="19"/>
        <v>0</v>
      </c>
      <c r="AK108">
        <f t="shared" si="20"/>
        <v>0</v>
      </c>
      <c r="AL108">
        <f t="shared" si="21"/>
        <v>0</v>
      </c>
      <c r="AM108">
        <f t="shared" si="22"/>
        <v>0</v>
      </c>
      <c r="AN108">
        <f t="shared" si="23"/>
        <v>0</v>
      </c>
    </row>
    <row r="109" spans="1:40" x14ac:dyDescent="0.3">
      <c r="A109" t="s">
        <v>48</v>
      </c>
      <c r="B109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12"/>
        <v>0</v>
      </c>
      <c r="P109">
        <f t="shared" si="13"/>
        <v>0</v>
      </c>
      <c r="Q109">
        <f t="shared" si="14"/>
        <v>0</v>
      </c>
      <c r="R109">
        <f t="shared" si="15"/>
        <v>0</v>
      </c>
      <c r="S109">
        <f t="shared" si="16"/>
        <v>0</v>
      </c>
      <c r="T109">
        <f t="shared" si="17"/>
        <v>0</v>
      </c>
      <c r="AA109">
        <v>665594.93999999994</v>
      </c>
      <c r="AB109">
        <v>7107</v>
      </c>
      <c r="AC109">
        <v>15</v>
      </c>
      <c r="AD109">
        <v>31042.03</v>
      </c>
      <c r="AE109">
        <v>87</v>
      </c>
      <c r="AF109">
        <v>5.0999999999999997E-2</v>
      </c>
      <c r="AG109">
        <v>3.2</v>
      </c>
      <c r="AH109">
        <v>0</v>
      </c>
      <c r="AI109">
        <f t="shared" si="18"/>
        <v>0</v>
      </c>
      <c r="AJ109">
        <f t="shared" si="19"/>
        <v>0</v>
      </c>
      <c r="AK109">
        <f t="shared" si="20"/>
        <v>0</v>
      </c>
      <c r="AL109">
        <f t="shared" si="21"/>
        <v>0</v>
      </c>
      <c r="AM109">
        <f t="shared" si="22"/>
        <v>0</v>
      </c>
      <c r="AN109">
        <f t="shared" si="23"/>
        <v>0</v>
      </c>
    </row>
    <row r="110" spans="1:40" x14ac:dyDescent="0.3">
      <c r="A110" t="s">
        <v>49</v>
      </c>
      <c r="B110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12"/>
        <v>0</v>
      </c>
      <c r="P110">
        <f t="shared" si="13"/>
        <v>0</v>
      </c>
      <c r="Q110">
        <f t="shared" si="14"/>
        <v>0</v>
      </c>
      <c r="R110">
        <f t="shared" si="15"/>
        <v>0</v>
      </c>
      <c r="S110">
        <f t="shared" si="16"/>
        <v>0</v>
      </c>
      <c r="T110">
        <f t="shared" si="17"/>
        <v>0</v>
      </c>
      <c r="AA110">
        <v>709478.39</v>
      </c>
      <c r="AB110">
        <v>6975</v>
      </c>
      <c r="AC110">
        <v>20</v>
      </c>
      <c r="AD110">
        <v>75265.02</v>
      </c>
      <c r="AE110">
        <v>73.8</v>
      </c>
      <c r="AF110">
        <v>0.157</v>
      </c>
      <c r="AG110">
        <v>3.8</v>
      </c>
      <c r="AH110">
        <v>1</v>
      </c>
      <c r="AI110">
        <f t="shared" si="18"/>
        <v>0</v>
      </c>
      <c r="AJ110">
        <f t="shared" si="19"/>
        <v>0</v>
      </c>
      <c r="AK110">
        <f t="shared" si="20"/>
        <v>0</v>
      </c>
      <c r="AL110">
        <f t="shared" si="21"/>
        <v>0</v>
      </c>
      <c r="AM110">
        <f t="shared" si="22"/>
        <v>0</v>
      </c>
      <c r="AN110">
        <f t="shared" si="23"/>
        <v>0</v>
      </c>
    </row>
    <row r="111" spans="1:40" x14ac:dyDescent="0.3">
      <c r="A111" t="s">
        <v>49</v>
      </c>
      <c r="B111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12"/>
        <v>0</v>
      </c>
      <c r="P111">
        <f t="shared" si="13"/>
        <v>0</v>
      </c>
      <c r="Q111">
        <f t="shared" si="14"/>
        <v>0</v>
      </c>
      <c r="R111">
        <f t="shared" si="15"/>
        <v>0</v>
      </c>
      <c r="S111">
        <f t="shared" si="16"/>
        <v>0</v>
      </c>
      <c r="T111">
        <f t="shared" si="17"/>
        <v>0</v>
      </c>
      <c r="AA111">
        <v>664162.49</v>
      </c>
      <c r="AB111">
        <v>5493</v>
      </c>
      <c r="AC111">
        <v>13</v>
      </c>
      <c r="AD111">
        <v>69411.7</v>
      </c>
      <c r="AE111">
        <v>86.5</v>
      </c>
      <c r="AF111">
        <v>0.29199999999999998</v>
      </c>
      <c r="AG111">
        <v>3.8</v>
      </c>
      <c r="AH111">
        <v>0</v>
      </c>
      <c r="AI111">
        <f t="shared" si="18"/>
        <v>0</v>
      </c>
      <c r="AJ111">
        <f t="shared" si="19"/>
        <v>0</v>
      </c>
      <c r="AK111">
        <f t="shared" si="20"/>
        <v>0</v>
      </c>
      <c r="AL111">
        <f t="shared" si="21"/>
        <v>0</v>
      </c>
      <c r="AM111">
        <f t="shared" si="22"/>
        <v>0</v>
      </c>
      <c r="AN111">
        <f t="shared" si="23"/>
        <v>0</v>
      </c>
    </row>
    <row r="112" spans="1:40" x14ac:dyDescent="0.3">
      <c r="A112" t="s">
        <v>49</v>
      </c>
      <c r="B11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12"/>
        <v>0</v>
      </c>
      <c r="P112">
        <f t="shared" si="13"/>
        <v>0</v>
      </c>
      <c r="Q112">
        <f t="shared" si="14"/>
        <v>0</v>
      </c>
      <c r="R112">
        <f t="shared" si="15"/>
        <v>0</v>
      </c>
      <c r="S112">
        <f t="shared" si="16"/>
        <v>0</v>
      </c>
      <c r="T112">
        <f t="shared" si="17"/>
        <v>0</v>
      </c>
      <c r="AA112">
        <v>633494.21</v>
      </c>
      <c r="AB112">
        <v>5686</v>
      </c>
      <c r="AC112">
        <v>13</v>
      </c>
      <c r="AD112">
        <v>51056.15</v>
      </c>
      <c r="AE112">
        <v>89.9</v>
      </c>
      <c r="AF112">
        <v>8.8999999999999996E-2</v>
      </c>
      <c r="AG112">
        <v>4.2</v>
      </c>
      <c r="AH112">
        <v>0</v>
      </c>
      <c r="AI112">
        <f t="shared" si="18"/>
        <v>0</v>
      </c>
      <c r="AJ112">
        <f t="shared" si="19"/>
        <v>0</v>
      </c>
      <c r="AK112">
        <f t="shared" si="20"/>
        <v>0</v>
      </c>
      <c r="AL112">
        <f t="shared" si="21"/>
        <v>0</v>
      </c>
      <c r="AM112">
        <f t="shared" si="22"/>
        <v>0</v>
      </c>
      <c r="AN112">
        <f t="shared" si="23"/>
        <v>0</v>
      </c>
    </row>
    <row r="113" spans="1:40" x14ac:dyDescent="0.3">
      <c r="A113" t="s">
        <v>49</v>
      </c>
      <c r="B11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12"/>
        <v>0</v>
      </c>
      <c r="P113">
        <f t="shared" si="13"/>
        <v>0</v>
      </c>
      <c r="Q113">
        <f t="shared" si="14"/>
        <v>0</v>
      </c>
      <c r="R113">
        <f t="shared" si="15"/>
        <v>0</v>
      </c>
      <c r="S113">
        <f t="shared" si="16"/>
        <v>0</v>
      </c>
      <c r="T113">
        <f t="shared" si="17"/>
        <v>0</v>
      </c>
      <c r="AA113">
        <v>713611.16</v>
      </c>
      <c r="AB113">
        <v>4063</v>
      </c>
      <c r="AC113">
        <v>12</v>
      </c>
      <c r="AD113">
        <v>52758.01</v>
      </c>
      <c r="AE113">
        <v>91.7</v>
      </c>
      <c r="AF113">
        <v>5.7000000000000002E-2</v>
      </c>
      <c r="AG113">
        <v>3.5</v>
      </c>
      <c r="AH113">
        <v>0</v>
      </c>
      <c r="AI113">
        <f t="shared" si="18"/>
        <v>0</v>
      </c>
      <c r="AJ113">
        <f t="shared" si="19"/>
        <v>0</v>
      </c>
      <c r="AK113">
        <f t="shared" si="20"/>
        <v>0</v>
      </c>
      <c r="AL113">
        <f t="shared" si="21"/>
        <v>0</v>
      </c>
      <c r="AM113">
        <f t="shared" si="22"/>
        <v>0</v>
      </c>
      <c r="AN113">
        <f t="shared" si="23"/>
        <v>0</v>
      </c>
    </row>
    <row r="114" spans="1:40" x14ac:dyDescent="0.3">
      <c r="A114" t="s">
        <v>50</v>
      </c>
      <c r="B114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12"/>
        <v>0</v>
      </c>
      <c r="P114">
        <f t="shared" si="13"/>
        <v>0</v>
      </c>
      <c r="Q114">
        <f t="shared" si="14"/>
        <v>0</v>
      </c>
      <c r="R114">
        <f t="shared" si="15"/>
        <v>0</v>
      </c>
      <c r="S114">
        <f t="shared" si="16"/>
        <v>0</v>
      </c>
      <c r="T114">
        <f t="shared" si="17"/>
        <v>0</v>
      </c>
      <c r="AA114">
        <v>778397.97</v>
      </c>
      <c r="AB114">
        <v>8966</v>
      </c>
      <c r="AC114">
        <v>22</v>
      </c>
      <c r="AD114">
        <v>61426.04</v>
      </c>
      <c r="AE114">
        <v>76.400000000000006</v>
      </c>
      <c r="AF114">
        <v>0.17299999999999999</v>
      </c>
      <c r="AG114">
        <v>3.1</v>
      </c>
      <c r="AH114">
        <v>0</v>
      </c>
      <c r="AI114">
        <f t="shared" si="18"/>
        <v>0</v>
      </c>
      <c r="AJ114">
        <f t="shared" si="19"/>
        <v>0</v>
      </c>
      <c r="AK114">
        <f t="shared" si="20"/>
        <v>0</v>
      </c>
      <c r="AL114">
        <f t="shared" si="21"/>
        <v>0</v>
      </c>
      <c r="AM114">
        <f t="shared" si="22"/>
        <v>0</v>
      </c>
      <c r="AN114">
        <f t="shared" si="23"/>
        <v>0</v>
      </c>
    </row>
    <row r="115" spans="1:40" x14ac:dyDescent="0.3">
      <c r="A115" t="s">
        <v>50</v>
      </c>
      <c r="B115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12"/>
        <v>0</v>
      </c>
      <c r="P115">
        <f t="shared" si="13"/>
        <v>0</v>
      </c>
      <c r="Q115">
        <f t="shared" si="14"/>
        <v>0</v>
      </c>
      <c r="R115">
        <f t="shared" si="15"/>
        <v>0</v>
      </c>
      <c r="S115">
        <f t="shared" si="16"/>
        <v>0</v>
      </c>
      <c r="T115">
        <f t="shared" si="17"/>
        <v>0</v>
      </c>
      <c r="AA115">
        <v>873380.02</v>
      </c>
      <c r="AB115">
        <v>9489</v>
      </c>
      <c r="AC115">
        <v>22</v>
      </c>
      <c r="AD115">
        <v>80176.34</v>
      </c>
      <c r="AE115">
        <v>94.3</v>
      </c>
      <c r="AF115">
        <v>0.14199999999999999</v>
      </c>
      <c r="AG115">
        <v>3.5</v>
      </c>
      <c r="AH115">
        <v>0</v>
      </c>
      <c r="AI115">
        <f t="shared" si="18"/>
        <v>0</v>
      </c>
      <c r="AJ115">
        <f t="shared" si="19"/>
        <v>0</v>
      </c>
      <c r="AK115">
        <f t="shared" si="20"/>
        <v>0</v>
      </c>
      <c r="AL115">
        <f t="shared" si="21"/>
        <v>0</v>
      </c>
      <c r="AM115">
        <f t="shared" si="22"/>
        <v>0</v>
      </c>
      <c r="AN115">
        <f t="shared" si="23"/>
        <v>0</v>
      </c>
    </row>
    <row r="116" spans="1:40" x14ac:dyDescent="0.3">
      <c r="A116" t="s">
        <v>50</v>
      </c>
      <c r="B116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12"/>
        <v>0</v>
      </c>
      <c r="P116">
        <f t="shared" si="13"/>
        <v>0</v>
      </c>
      <c r="Q116">
        <f t="shared" si="14"/>
        <v>0</v>
      </c>
      <c r="R116">
        <f t="shared" si="15"/>
        <v>0</v>
      </c>
      <c r="S116">
        <f t="shared" si="16"/>
        <v>0</v>
      </c>
      <c r="T116">
        <f t="shared" si="17"/>
        <v>0</v>
      </c>
      <c r="AA116">
        <v>697287.9</v>
      </c>
      <c r="AB116">
        <v>9225</v>
      </c>
      <c r="AC116">
        <v>23</v>
      </c>
      <c r="AD116">
        <v>33605.18</v>
      </c>
      <c r="AE116">
        <v>88.4</v>
      </c>
      <c r="AF116">
        <v>0.159</v>
      </c>
      <c r="AG116">
        <v>2.8</v>
      </c>
      <c r="AH116">
        <v>0</v>
      </c>
      <c r="AI116">
        <f t="shared" si="18"/>
        <v>0</v>
      </c>
      <c r="AJ116">
        <f t="shared" si="19"/>
        <v>0</v>
      </c>
      <c r="AK116">
        <f t="shared" si="20"/>
        <v>0</v>
      </c>
      <c r="AL116">
        <f t="shared" si="21"/>
        <v>0</v>
      </c>
      <c r="AM116">
        <f t="shared" si="22"/>
        <v>0</v>
      </c>
      <c r="AN116">
        <f t="shared" si="23"/>
        <v>0</v>
      </c>
    </row>
    <row r="117" spans="1:40" x14ac:dyDescent="0.3">
      <c r="A117" t="s">
        <v>50</v>
      </c>
      <c r="B117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12"/>
        <v>0</v>
      </c>
      <c r="P117">
        <f t="shared" si="13"/>
        <v>0</v>
      </c>
      <c r="Q117">
        <f t="shared" si="14"/>
        <v>0</v>
      </c>
      <c r="R117">
        <f t="shared" si="15"/>
        <v>0</v>
      </c>
      <c r="S117">
        <f t="shared" si="16"/>
        <v>0</v>
      </c>
      <c r="T117">
        <f t="shared" si="17"/>
        <v>0</v>
      </c>
      <c r="AA117">
        <v>718074.79</v>
      </c>
      <c r="AB117">
        <v>9249</v>
      </c>
      <c r="AC117">
        <v>23</v>
      </c>
      <c r="AD117">
        <v>25990.54</v>
      </c>
      <c r="AE117">
        <v>92.5</v>
      </c>
      <c r="AF117">
        <v>0.13900000000000001</v>
      </c>
      <c r="AG117">
        <v>3.3</v>
      </c>
      <c r="AH117">
        <v>0</v>
      </c>
      <c r="AI117">
        <f t="shared" si="18"/>
        <v>0</v>
      </c>
      <c r="AJ117">
        <f t="shared" si="19"/>
        <v>0</v>
      </c>
      <c r="AK117">
        <f t="shared" si="20"/>
        <v>0</v>
      </c>
      <c r="AL117">
        <f t="shared" si="21"/>
        <v>0</v>
      </c>
      <c r="AM117">
        <f t="shared" si="22"/>
        <v>0</v>
      </c>
      <c r="AN117">
        <f t="shared" si="23"/>
        <v>0</v>
      </c>
    </row>
    <row r="118" spans="1:40" x14ac:dyDescent="0.3">
      <c r="A118" t="s">
        <v>51</v>
      </c>
      <c r="B118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12"/>
        <v>0</v>
      </c>
      <c r="P118">
        <f t="shared" si="13"/>
        <v>0</v>
      </c>
      <c r="Q118">
        <f t="shared" si="14"/>
        <v>0</v>
      </c>
      <c r="R118">
        <f t="shared" si="15"/>
        <v>0</v>
      </c>
      <c r="S118">
        <f t="shared" si="16"/>
        <v>0</v>
      </c>
      <c r="T118">
        <f t="shared" si="17"/>
        <v>0</v>
      </c>
      <c r="AA118">
        <v>714942.43</v>
      </c>
      <c r="AB118">
        <v>7821</v>
      </c>
      <c r="AC118">
        <v>17</v>
      </c>
      <c r="AD118">
        <v>43685.14</v>
      </c>
      <c r="AE118">
        <v>91</v>
      </c>
      <c r="AF118">
        <v>0.19</v>
      </c>
      <c r="AG118">
        <v>4.7</v>
      </c>
      <c r="AH118">
        <v>1</v>
      </c>
      <c r="AI118">
        <f t="shared" si="18"/>
        <v>0</v>
      </c>
      <c r="AJ118">
        <f t="shared" si="19"/>
        <v>0</v>
      </c>
      <c r="AK118">
        <f t="shared" si="20"/>
        <v>0</v>
      </c>
      <c r="AL118">
        <f t="shared" si="21"/>
        <v>0</v>
      </c>
      <c r="AM118">
        <f t="shared" si="22"/>
        <v>0</v>
      </c>
      <c r="AN118">
        <f t="shared" si="23"/>
        <v>0</v>
      </c>
    </row>
    <row r="119" spans="1:40" x14ac:dyDescent="0.3">
      <c r="A119" t="s">
        <v>51</v>
      </c>
      <c r="B119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12"/>
        <v>0</v>
      </c>
      <c r="P119">
        <f t="shared" si="13"/>
        <v>0</v>
      </c>
      <c r="Q119">
        <f t="shared" si="14"/>
        <v>0</v>
      </c>
      <c r="R119">
        <f t="shared" si="15"/>
        <v>0</v>
      </c>
      <c r="S119">
        <f t="shared" si="16"/>
        <v>0</v>
      </c>
      <c r="T119">
        <f t="shared" si="17"/>
        <v>0</v>
      </c>
      <c r="AA119">
        <v>820519.04</v>
      </c>
      <c r="AB119">
        <v>8434</v>
      </c>
      <c r="AC119">
        <v>19</v>
      </c>
      <c r="AD119">
        <v>57360.01</v>
      </c>
      <c r="AE119">
        <v>84.1</v>
      </c>
      <c r="AF119">
        <v>0.151</v>
      </c>
      <c r="AG119">
        <v>4.7</v>
      </c>
      <c r="AH119">
        <v>0</v>
      </c>
      <c r="AI119">
        <f t="shared" si="18"/>
        <v>0</v>
      </c>
      <c r="AJ119">
        <f t="shared" si="19"/>
        <v>0</v>
      </c>
      <c r="AK119">
        <f t="shared" si="20"/>
        <v>0</v>
      </c>
      <c r="AL119">
        <f t="shared" si="21"/>
        <v>0</v>
      </c>
      <c r="AM119">
        <f t="shared" si="22"/>
        <v>0</v>
      </c>
      <c r="AN119">
        <f t="shared" si="23"/>
        <v>0</v>
      </c>
    </row>
    <row r="120" spans="1:40" x14ac:dyDescent="0.3">
      <c r="A120" t="s">
        <v>51</v>
      </c>
      <c r="B120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12"/>
        <v>0</v>
      </c>
      <c r="P120">
        <f t="shared" si="13"/>
        <v>0</v>
      </c>
      <c r="Q120">
        <f t="shared" si="14"/>
        <v>0</v>
      </c>
      <c r="R120">
        <f t="shared" si="15"/>
        <v>0</v>
      </c>
      <c r="S120">
        <f t="shared" si="16"/>
        <v>0</v>
      </c>
      <c r="T120">
        <f t="shared" si="17"/>
        <v>0</v>
      </c>
      <c r="AA120">
        <v>684217.32</v>
      </c>
      <c r="AB120">
        <v>8512</v>
      </c>
      <c r="AC120">
        <v>18</v>
      </c>
      <c r="AD120">
        <v>42415.47</v>
      </c>
      <c r="AE120">
        <v>96.8</v>
      </c>
      <c r="AF120">
        <v>0.13300000000000001</v>
      </c>
      <c r="AG120">
        <v>4.5999999999999996</v>
      </c>
      <c r="AH120">
        <v>0</v>
      </c>
      <c r="AI120">
        <f t="shared" si="18"/>
        <v>0</v>
      </c>
      <c r="AJ120">
        <f t="shared" si="19"/>
        <v>0</v>
      </c>
      <c r="AK120">
        <f t="shared" si="20"/>
        <v>0</v>
      </c>
      <c r="AL120">
        <f t="shared" si="21"/>
        <v>0</v>
      </c>
      <c r="AM120">
        <f t="shared" si="22"/>
        <v>0</v>
      </c>
      <c r="AN120">
        <f t="shared" si="23"/>
        <v>0</v>
      </c>
    </row>
    <row r="121" spans="1:40" x14ac:dyDescent="0.3">
      <c r="A121" t="s">
        <v>51</v>
      </c>
      <c r="B121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12"/>
        <v>0</v>
      </c>
      <c r="P121">
        <f t="shared" si="13"/>
        <v>0</v>
      </c>
      <c r="Q121">
        <f t="shared" si="14"/>
        <v>0</v>
      </c>
      <c r="R121">
        <f t="shared" si="15"/>
        <v>0</v>
      </c>
      <c r="S121">
        <f t="shared" si="16"/>
        <v>0</v>
      </c>
      <c r="T121">
        <f t="shared" si="17"/>
        <v>0</v>
      </c>
      <c r="AA121">
        <v>735480.19</v>
      </c>
      <c r="AB121">
        <v>7816</v>
      </c>
      <c r="AC121">
        <v>19</v>
      </c>
      <c r="AD121">
        <v>54968.98</v>
      </c>
      <c r="AE121">
        <v>95.7</v>
      </c>
      <c r="AF121">
        <v>0.23200000000000001</v>
      </c>
      <c r="AG121">
        <v>4.7</v>
      </c>
      <c r="AH121">
        <v>0</v>
      </c>
      <c r="AI121">
        <f t="shared" si="18"/>
        <v>0</v>
      </c>
      <c r="AJ121">
        <f t="shared" si="19"/>
        <v>0</v>
      </c>
      <c r="AK121">
        <f t="shared" si="20"/>
        <v>0</v>
      </c>
      <c r="AL121">
        <f t="shared" si="21"/>
        <v>0</v>
      </c>
      <c r="AM121">
        <f t="shared" si="22"/>
        <v>0</v>
      </c>
      <c r="AN121">
        <f t="shared" si="23"/>
        <v>0</v>
      </c>
    </row>
    <row r="122" spans="1:40" x14ac:dyDescent="0.3">
      <c r="A122" t="s">
        <v>52</v>
      </c>
      <c r="B12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12"/>
        <v>0</v>
      </c>
      <c r="P122">
        <f t="shared" si="13"/>
        <v>0</v>
      </c>
      <c r="Q122">
        <f t="shared" si="14"/>
        <v>0</v>
      </c>
      <c r="R122">
        <f t="shared" si="15"/>
        <v>0</v>
      </c>
      <c r="S122">
        <f t="shared" si="16"/>
        <v>0</v>
      </c>
      <c r="T122">
        <f t="shared" si="17"/>
        <v>0</v>
      </c>
      <c r="AA122">
        <v>509484.81</v>
      </c>
      <c r="AB122">
        <v>3853</v>
      </c>
      <c r="AC122">
        <v>13</v>
      </c>
      <c r="AD122">
        <v>43896.13</v>
      </c>
      <c r="AE122">
        <v>83</v>
      </c>
      <c r="AF122">
        <v>8.7999999999999995E-2</v>
      </c>
      <c r="AG122">
        <v>4.4000000000000004</v>
      </c>
      <c r="AH122">
        <v>0</v>
      </c>
      <c r="AI122">
        <f t="shared" si="18"/>
        <v>0</v>
      </c>
      <c r="AJ122">
        <f t="shared" si="19"/>
        <v>0</v>
      </c>
      <c r="AK122">
        <f t="shared" si="20"/>
        <v>0</v>
      </c>
      <c r="AL122">
        <f t="shared" si="21"/>
        <v>0</v>
      </c>
      <c r="AM122">
        <f t="shared" si="22"/>
        <v>0</v>
      </c>
      <c r="AN122">
        <f t="shared" si="23"/>
        <v>0</v>
      </c>
    </row>
    <row r="123" spans="1:40" x14ac:dyDescent="0.3">
      <c r="A123" t="s">
        <v>52</v>
      </c>
      <c r="B12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12"/>
        <v>0</v>
      </c>
      <c r="P123">
        <f t="shared" si="13"/>
        <v>0</v>
      </c>
      <c r="Q123">
        <f t="shared" si="14"/>
        <v>0</v>
      </c>
      <c r="R123">
        <f t="shared" si="15"/>
        <v>0</v>
      </c>
      <c r="S123">
        <f t="shared" si="16"/>
        <v>0</v>
      </c>
      <c r="T123">
        <f t="shared" si="17"/>
        <v>0</v>
      </c>
      <c r="AA123">
        <v>654317.09</v>
      </c>
      <c r="AB123">
        <v>3694</v>
      </c>
      <c r="AC123">
        <v>14</v>
      </c>
      <c r="AD123">
        <v>83044.17</v>
      </c>
      <c r="AE123">
        <v>89.4</v>
      </c>
      <c r="AF123">
        <v>0</v>
      </c>
      <c r="AG123">
        <v>3.7</v>
      </c>
      <c r="AH123">
        <v>0</v>
      </c>
      <c r="AI123">
        <f t="shared" si="18"/>
        <v>0</v>
      </c>
      <c r="AJ123">
        <f t="shared" si="19"/>
        <v>0</v>
      </c>
      <c r="AK123">
        <f t="shared" si="20"/>
        <v>0</v>
      </c>
      <c r="AL123">
        <f t="shared" si="21"/>
        <v>0</v>
      </c>
      <c r="AM123">
        <f t="shared" si="22"/>
        <v>0</v>
      </c>
      <c r="AN123">
        <f t="shared" si="23"/>
        <v>0</v>
      </c>
    </row>
    <row r="124" spans="1:40" x14ac:dyDescent="0.3">
      <c r="A124" t="s">
        <v>52</v>
      </c>
      <c r="B124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12"/>
        <v>0</v>
      </c>
      <c r="P124">
        <f t="shared" si="13"/>
        <v>0</v>
      </c>
      <c r="Q124">
        <f t="shared" si="14"/>
        <v>0</v>
      </c>
      <c r="R124">
        <f t="shared" si="15"/>
        <v>0</v>
      </c>
      <c r="S124">
        <f t="shared" si="16"/>
        <v>0</v>
      </c>
      <c r="T124">
        <f t="shared" si="17"/>
        <v>0</v>
      </c>
      <c r="AA124">
        <v>557487.26</v>
      </c>
      <c r="AB124">
        <v>4423</v>
      </c>
      <c r="AC124">
        <v>15</v>
      </c>
      <c r="AD124">
        <v>48396.13</v>
      </c>
      <c r="AE124">
        <v>85.7</v>
      </c>
      <c r="AF124">
        <v>6.9000000000000006E-2</v>
      </c>
      <c r="AG124">
        <v>3.9</v>
      </c>
      <c r="AH124">
        <v>0</v>
      </c>
      <c r="AI124">
        <f t="shared" si="18"/>
        <v>0</v>
      </c>
      <c r="AJ124">
        <f t="shared" si="19"/>
        <v>0</v>
      </c>
      <c r="AK124">
        <f t="shared" si="20"/>
        <v>0</v>
      </c>
      <c r="AL124">
        <f t="shared" si="21"/>
        <v>0</v>
      </c>
      <c r="AM124">
        <f t="shared" si="22"/>
        <v>0</v>
      </c>
      <c r="AN124">
        <f t="shared" si="23"/>
        <v>0</v>
      </c>
    </row>
    <row r="125" spans="1:40" x14ac:dyDescent="0.3">
      <c r="A125" t="s">
        <v>52</v>
      </c>
      <c r="B125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12"/>
        <v>0</v>
      </c>
      <c r="P125">
        <f t="shared" si="13"/>
        <v>0</v>
      </c>
      <c r="Q125">
        <f t="shared" si="14"/>
        <v>0</v>
      </c>
      <c r="R125">
        <f t="shared" si="15"/>
        <v>0</v>
      </c>
      <c r="S125">
        <f t="shared" si="16"/>
        <v>0</v>
      </c>
      <c r="T125">
        <f t="shared" si="17"/>
        <v>0</v>
      </c>
      <c r="AA125">
        <v>441275.42</v>
      </c>
      <c r="AB125">
        <v>1906</v>
      </c>
      <c r="AC125">
        <v>10</v>
      </c>
      <c r="AD125">
        <v>19063.48</v>
      </c>
      <c r="AE125">
        <v>97.8</v>
      </c>
      <c r="AF125">
        <v>0.216</v>
      </c>
      <c r="AG125">
        <v>4.4000000000000004</v>
      </c>
      <c r="AH125">
        <v>0</v>
      </c>
      <c r="AI125">
        <f t="shared" si="18"/>
        <v>0</v>
      </c>
      <c r="AJ125">
        <f t="shared" si="19"/>
        <v>0</v>
      </c>
      <c r="AK125">
        <f t="shared" si="20"/>
        <v>0</v>
      </c>
      <c r="AL125">
        <f t="shared" si="21"/>
        <v>0</v>
      </c>
      <c r="AM125">
        <f t="shared" si="22"/>
        <v>0</v>
      </c>
      <c r="AN125">
        <f t="shared" si="23"/>
        <v>0</v>
      </c>
    </row>
    <row r="126" spans="1:40" x14ac:dyDescent="0.3">
      <c r="A126" t="s">
        <v>53</v>
      </c>
      <c r="B126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12"/>
        <v>0</v>
      </c>
      <c r="P126">
        <f t="shared" si="13"/>
        <v>0</v>
      </c>
      <c r="Q126">
        <f t="shared" si="14"/>
        <v>0</v>
      </c>
      <c r="R126">
        <f t="shared" si="15"/>
        <v>0</v>
      </c>
      <c r="S126">
        <f t="shared" si="16"/>
        <v>0</v>
      </c>
      <c r="T126">
        <f t="shared" si="17"/>
        <v>0</v>
      </c>
      <c r="AA126">
        <v>914544.17</v>
      </c>
      <c r="AB126">
        <v>10396</v>
      </c>
      <c r="AC126">
        <v>25</v>
      </c>
      <c r="AD126">
        <v>61541.21</v>
      </c>
      <c r="AE126">
        <v>88.1</v>
      </c>
      <c r="AF126">
        <v>0.123</v>
      </c>
      <c r="AG126">
        <v>4.8</v>
      </c>
      <c r="AH126">
        <v>1</v>
      </c>
      <c r="AI126">
        <f t="shared" si="18"/>
        <v>0</v>
      </c>
      <c r="AJ126">
        <f t="shared" si="19"/>
        <v>0</v>
      </c>
      <c r="AK126">
        <f t="shared" si="20"/>
        <v>0</v>
      </c>
      <c r="AL126">
        <f t="shared" si="21"/>
        <v>0</v>
      </c>
      <c r="AM126">
        <f t="shared" si="22"/>
        <v>0</v>
      </c>
      <c r="AN126">
        <f t="shared" si="23"/>
        <v>0</v>
      </c>
    </row>
    <row r="127" spans="1:40" x14ac:dyDescent="0.3">
      <c r="A127" t="s">
        <v>53</v>
      </c>
      <c r="B127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12"/>
        <v>0</v>
      </c>
      <c r="P127">
        <f t="shared" si="13"/>
        <v>0</v>
      </c>
      <c r="Q127">
        <f t="shared" si="14"/>
        <v>0</v>
      </c>
      <c r="R127">
        <f t="shared" si="15"/>
        <v>0</v>
      </c>
      <c r="S127">
        <f t="shared" si="16"/>
        <v>0</v>
      </c>
      <c r="T127">
        <f t="shared" si="17"/>
        <v>0</v>
      </c>
      <c r="AA127">
        <v>842439.67</v>
      </c>
      <c r="AB127">
        <v>11076</v>
      </c>
      <c r="AC127">
        <v>27</v>
      </c>
      <c r="AD127">
        <v>44747</v>
      </c>
      <c r="AE127">
        <v>98.3</v>
      </c>
      <c r="AF127">
        <v>0.17599999999999999</v>
      </c>
      <c r="AG127">
        <v>4.4000000000000004</v>
      </c>
      <c r="AH127">
        <v>0</v>
      </c>
      <c r="AI127">
        <f t="shared" si="18"/>
        <v>0</v>
      </c>
      <c r="AJ127">
        <f t="shared" si="19"/>
        <v>0</v>
      </c>
      <c r="AK127">
        <f t="shared" si="20"/>
        <v>0</v>
      </c>
      <c r="AL127">
        <f t="shared" si="21"/>
        <v>0</v>
      </c>
      <c r="AM127">
        <f t="shared" si="22"/>
        <v>0</v>
      </c>
      <c r="AN127">
        <f t="shared" si="23"/>
        <v>0</v>
      </c>
    </row>
    <row r="128" spans="1:40" x14ac:dyDescent="0.3">
      <c r="A128" t="s">
        <v>53</v>
      </c>
      <c r="B128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12"/>
        <v>0</v>
      </c>
      <c r="P128">
        <f t="shared" si="13"/>
        <v>0</v>
      </c>
      <c r="Q128">
        <f t="shared" si="14"/>
        <v>0</v>
      </c>
      <c r="R128">
        <f t="shared" si="15"/>
        <v>0</v>
      </c>
      <c r="S128">
        <f t="shared" si="16"/>
        <v>0</v>
      </c>
      <c r="T128">
        <f t="shared" si="17"/>
        <v>0</v>
      </c>
      <c r="AA128">
        <v>842157.92</v>
      </c>
      <c r="AB128">
        <v>9574</v>
      </c>
      <c r="AC128">
        <v>20</v>
      </c>
      <c r="AD128">
        <v>56517.9</v>
      </c>
      <c r="AE128">
        <v>88.2</v>
      </c>
      <c r="AF128">
        <v>0.20399999999999999</v>
      </c>
      <c r="AG128">
        <v>4.9000000000000004</v>
      </c>
      <c r="AH128">
        <v>1</v>
      </c>
      <c r="AI128">
        <f t="shared" si="18"/>
        <v>0</v>
      </c>
      <c r="AJ128">
        <f t="shared" si="19"/>
        <v>0</v>
      </c>
      <c r="AK128">
        <f t="shared" si="20"/>
        <v>0</v>
      </c>
      <c r="AL128">
        <f t="shared" si="21"/>
        <v>0</v>
      </c>
      <c r="AM128">
        <f t="shared" si="22"/>
        <v>0</v>
      </c>
      <c r="AN128">
        <f t="shared" si="23"/>
        <v>0</v>
      </c>
    </row>
    <row r="129" spans="1:40" x14ac:dyDescent="0.3">
      <c r="A129" t="s">
        <v>53</v>
      </c>
      <c r="B129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12"/>
        <v>0</v>
      </c>
      <c r="P129">
        <f t="shared" si="13"/>
        <v>0</v>
      </c>
      <c r="Q129">
        <f t="shared" si="14"/>
        <v>0</v>
      </c>
      <c r="R129">
        <f t="shared" si="15"/>
        <v>0</v>
      </c>
      <c r="S129">
        <f t="shared" si="16"/>
        <v>0</v>
      </c>
      <c r="T129">
        <f t="shared" si="17"/>
        <v>0</v>
      </c>
      <c r="AA129">
        <v>697155.3</v>
      </c>
      <c r="AB129">
        <v>8221</v>
      </c>
      <c r="AC129">
        <v>19</v>
      </c>
      <c r="AD129">
        <v>37828.5</v>
      </c>
      <c r="AE129">
        <v>81.5</v>
      </c>
      <c r="AF129">
        <v>9.6000000000000002E-2</v>
      </c>
      <c r="AG129">
        <v>4.8</v>
      </c>
      <c r="AH129">
        <v>0</v>
      </c>
      <c r="AI129">
        <f t="shared" si="18"/>
        <v>0</v>
      </c>
      <c r="AJ129">
        <f t="shared" si="19"/>
        <v>0</v>
      </c>
      <c r="AK129">
        <f t="shared" si="20"/>
        <v>0</v>
      </c>
      <c r="AL129">
        <f t="shared" si="21"/>
        <v>0</v>
      </c>
      <c r="AM129">
        <f t="shared" si="22"/>
        <v>0</v>
      </c>
      <c r="AN129">
        <f t="shared" si="23"/>
        <v>0</v>
      </c>
    </row>
    <row r="130" spans="1:40" x14ac:dyDescent="0.3">
      <c r="A130" t="s">
        <v>54</v>
      </c>
      <c r="B130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12"/>
        <v>0</v>
      </c>
      <c r="P130">
        <f t="shared" si="13"/>
        <v>0</v>
      </c>
      <c r="Q130">
        <f t="shared" si="14"/>
        <v>0</v>
      </c>
      <c r="R130">
        <f t="shared" si="15"/>
        <v>0</v>
      </c>
      <c r="S130">
        <f t="shared" si="16"/>
        <v>0</v>
      </c>
      <c r="T130">
        <f t="shared" si="17"/>
        <v>0</v>
      </c>
      <c r="AA130">
        <v>849018.3</v>
      </c>
      <c r="AB130">
        <v>10618</v>
      </c>
      <c r="AC130">
        <v>27</v>
      </c>
      <c r="AD130">
        <v>66250.53</v>
      </c>
      <c r="AE130">
        <v>88.3</v>
      </c>
      <c r="AF130">
        <v>0.14199999999999999</v>
      </c>
      <c r="AG130">
        <v>4.4000000000000004</v>
      </c>
      <c r="AH130">
        <v>1</v>
      </c>
      <c r="AI130">
        <f t="shared" si="18"/>
        <v>0</v>
      </c>
      <c r="AJ130">
        <f t="shared" si="19"/>
        <v>0</v>
      </c>
      <c r="AK130">
        <f t="shared" si="20"/>
        <v>0</v>
      </c>
      <c r="AL130">
        <f t="shared" si="21"/>
        <v>0</v>
      </c>
      <c r="AM130">
        <f t="shared" si="22"/>
        <v>0</v>
      </c>
      <c r="AN130">
        <f t="shared" si="23"/>
        <v>0</v>
      </c>
    </row>
    <row r="131" spans="1:40" x14ac:dyDescent="0.3">
      <c r="A131" t="s">
        <v>54</v>
      </c>
      <c r="B131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24">IF(M131="North",1,0)</f>
        <v>0</v>
      </c>
      <c r="P131">
        <f t="shared" ref="P131:P194" si="25">IF(M131="South",1,0)</f>
        <v>0</v>
      </c>
      <c r="Q131">
        <f t="shared" ref="Q131:Q194" si="26">IF(M131="West",1,0)</f>
        <v>0</v>
      </c>
      <c r="R131">
        <f t="shared" ref="R131:R194" si="27">IF(N131="High Street",1,0)</f>
        <v>0</v>
      </c>
      <c r="S131">
        <f t="shared" ref="S131:S194" si="28">IF(N131="Airport",1,0)</f>
        <v>0</v>
      </c>
      <c r="T131">
        <f t="shared" ref="T131:T194" si="29">IF(N131="Mall",1,0)</f>
        <v>0</v>
      </c>
      <c r="AA131">
        <v>801830.35</v>
      </c>
      <c r="AB131">
        <v>10596</v>
      </c>
      <c r="AC131">
        <v>25</v>
      </c>
      <c r="AD131">
        <v>68410.929999999993</v>
      </c>
      <c r="AE131">
        <v>81.2</v>
      </c>
      <c r="AF131">
        <v>0.20699999999999999</v>
      </c>
      <c r="AG131">
        <v>4</v>
      </c>
      <c r="AH131">
        <v>0</v>
      </c>
      <c r="AI131">
        <f t="shared" ref="AI131:AI194" si="30">IF(AG131="North",1,0)</f>
        <v>0</v>
      </c>
      <c r="AJ131">
        <f t="shared" ref="AJ131:AJ194" si="31">IF(AG131="South",1,0)</f>
        <v>0</v>
      </c>
      <c r="AK131">
        <f t="shared" ref="AK131:AK194" si="32">IF(AG131="West",1,0)</f>
        <v>0</v>
      </c>
      <c r="AL131">
        <f t="shared" ref="AL131:AL194" si="33">IF(AH131="High Street",1,0)</f>
        <v>0</v>
      </c>
      <c r="AM131">
        <f t="shared" ref="AM131:AM194" si="34">IF(AH131="Airport",1,0)</f>
        <v>0</v>
      </c>
      <c r="AN131">
        <f t="shared" ref="AN131:AN194" si="35">IF(AH131="Mall",1,0)</f>
        <v>0</v>
      </c>
    </row>
    <row r="132" spans="1:40" x14ac:dyDescent="0.3">
      <c r="A132" t="s">
        <v>54</v>
      </c>
      <c r="B13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24"/>
        <v>0</v>
      </c>
      <c r="P132">
        <f t="shared" si="25"/>
        <v>0</v>
      </c>
      <c r="Q132">
        <f t="shared" si="26"/>
        <v>0</v>
      </c>
      <c r="R132">
        <f t="shared" si="27"/>
        <v>0</v>
      </c>
      <c r="S132">
        <f t="shared" si="28"/>
        <v>0</v>
      </c>
      <c r="T132">
        <f t="shared" si="29"/>
        <v>0</v>
      </c>
      <c r="AA132">
        <v>725235.28</v>
      </c>
      <c r="AB132">
        <v>9619</v>
      </c>
      <c r="AC132">
        <v>19</v>
      </c>
      <c r="AD132">
        <v>50735.63</v>
      </c>
      <c r="AE132">
        <v>93.8</v>
      </c>
      <c r="AF132">
        <v>0.14399999999999999</v>
      </c>
      <c r="AG132">
        <v>4.5</v>
      </c>
      <c r="AH132">
        <v>1</v>
      </c>
      <c r="AI132">
        <f t="shared" si="30"/>
        <v>0</v>
      </c>
      <c r="AJ132">
        <f t="shared" si="31"/>
        <v>0</v>
      </c>
      <c r="AK132">
        <f t="shared" si="32"/>
        <v>0</v>
      </c>
      <c r="AL132">
        <f t="shared" si="33"/>
        <v>0</v>
      </c>
      <c r="AM132">
        <f t="shared" si="34"/>
        <v>0</v>
      </c>
      <c r="AN132">
        <f t="shared" si="35"/>
        <v>0</v>
      </c>
    </row>
    <row r="133" spans="1:40" x14ac:dyDescent="0.3">
      <c r="A133" t="s">
        <v>54</v>
      </c>
      <c r="B13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24"/>
        <v>0</v>
      </c>
      <c r="P133">
        <f t="shared" si="25"/>
        <v>0</v>
      </c>
      <c r="Q133">
        <f t="shared" si="26"/>
        <v>0</v>
      </c>
      <c r="R133">
        <f t="shared" si="27"/>
        <v>0</v>
      </c>
      <c r="S133">
        <f t="shared" si="28"/>
        <v>0</v>
      </c>
      <c r="T133">
        <f t="shared" si="29"/>
        <v>0</v>
      </c>
      <c r="AA133">
        <v>811452.72</v>
      </c>
      <c r="AB133">
        <v>10836</v>
      </c>
      <c r="AC133">
        <v>25</v>
      </c>
      <c r="AD133">
        <v>66455.8</v>
      </c>
      <c r="AE133">
        <v>85</v>
      </c>
      <c r="AF133">
        <v>8.8999999999999996E-2</v>
      </c>
      <c r="AG133">
        <v>4.5</v>
      </c>
      <c r="AH133">
        <v>0</v>
      </c>
      <c r="AI133">
        <f t="shared" si="30"/>
        <v>0</v>
      </c>
      <c r="AJ133">
        <f t="shared" si="31"/>
        <v>0</v>
      </c>
      <c r="AK133">
        <f t="shared" si="32"/>
        <v>0</v>
      </c>
      <c r="AL133">
        <f t="shared" si="33"/>
        <v>0</v>
      </c>
      <c r="AM133">
        <f t="shared" si="34"/>
        <v>0</v>
      </c>
      <c r="AN133">
        <f t="shared" si="35"/>
        <v>0</v>
      </c>
    </row>
    <row r="134" spans="1:40" x14ac:dyDescent="0.3">
      <c r="A134" t="s">
        <v>55</v>
      </c>
      <c r="B134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24"/>
        <v>0</v>
      </c>
      <c r="P134">
        <f t="shared" si="25"/>
        <v>0</v>
      </c>
      <c r="Q134">
        <f t="shared" si="26"/>
        <v>0</v>
      </c>
      <c r="R134">
        <f t="shared" si="27"/>
        <v>0</v>
      </c>
      <c r="S134">
        <f t="shared" si="28"/>
        <v>0</v>
      </c>
      <c r="T134">
        <f t="shared" si="29"/>
        <v>0</v>
      </c>
      <c r="AA134">
        <v>527300.13</v>
      </c>
      <c r="AB134">
        <v>3043</v>
      </c>
      <c r="AC134">
        <v>9</v>
      </c>
      <c r="AD134">
        <v>70276.28</v>
      </c>
      <c r="AE134">
        <v>87.9</v>
      </c>
      <c r="AF134">
        <v>7.9000000000000001E-2</v>
      </c>
      <c r="AG134">
        <v>4.4000000000000004</v>
      </c>
      <c r="AH134">
        <v>0</v>
      </c>
      <c r="AI134">
        <f t="shared" si="30"/>
        <v>0</v>
      </c>
      <c r="AJ134">
        <f t="shared" si="31"/>
        <v>0</v>
      </c>
      <c r="AK134">
        <f t="shared" si="32"/>
        <v>0</v>
      </c>
      <c r="AL134">
        <f t="shared" si="33"/>
        <v>0</v>
      </c>
      <c r="AM134">
        <f t="shared" si="34"/>
        <v>0</v>
      </c>
      <c r="AN134">
        <f t="shared" si="35"/>
        <v>0</v>
      </c>
    </row>
    <row r="135" spans="1:40" x14ac:dyDescent="0.3">
      <c r="A135" t="s">
        <v>55</v>
      </c>
      <c r="B135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</v>
      </c>
      <c r="M135">
        <v>400831.65</v>
      </c>
      <c r="N135">
        <v>70979.31</v>
      </c>
      <c r="O135">
        <f t="shared" si="24"/>
        <v>0</v>
      </c>
      <c r="P135">
        <f t="shared" si="25"/>
        <v>0</v>
      </c>
      <c r="Q135">
        <f t="shared" si="26"/>
        <v>0</v>
      </c>
      <c r="R135">
        <f t="shared" si="27"/>
        <v>0</v>
      </c>
      <c r="S135">
        <f t="shared" si="28"/>
        <v>0</v>
      </c>
      <c r="T135">
        <f t="shared" si="29"/>
        <v>0</v>
      </c>
      <c r="AA135">
        <v>400831.65</v>
      </c>
      <c r="AB135">
        <v>1814</v>
      </c>
      <c r="AC135">
        <v>8</v>
      </c>
      <c r="AD135">
        <v>22071.64</v>
      </c>
      <c r="AE135">
        <v>81.099999999999994</v>
      </c>
      <c r="AF135">
        <v>0.19600000000000001</v>
      </c>
      <c r="AG135">
        <v>3.9</v>
      </c>
      <c r="AH135">
        <v>0</v>
      </c>
      <c r="AI135">
        <f t="shared" si="30"/>
        <v>0</v>
      </c>
      <c r="AJ135">
        <f t="shared" si="31"/>
        <v>0</v>
      </c>
      <c r="AK135">
        <f t="shared" si="32"/>
        <v>0</v>
      </c>
      <c r="AL135">
        <f t="shared" si="33"/>
        <v>0</v>
      </c>
      <c r="AM135">
        <f t="shared" si="34"/>
        <v>0</v>
      </c>
      <c r="AN135">
        <f t="shared" si="35"/>
        <v>0</v>
      </c>
    </row>
    <row r="136" spans="1:40" x14ac:dyDescent="0.3">
      <c r="A136" t="s">
        <v>55</v>
      </c>
      <c r="B136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24"/>
        <v>0</v>
      </c>
      <c r="P136">
        <f t="shared" si="25"/>
        <v>0</v>
      </c>
      <c r="Q136">
        <f t="shared" si="26"/>
        <v>0</v>
      </c>
      <c r="R136">
        <f t="shared" si="27"/>
        <v>0</v>
      </c>
      <c r="S136">
        <f t="shared" si="28"/>
        <v>0</v>
      </c>
      <c r="T136">
        <f t="shared" si="29"/>
        <v>0</v>
      </c>
      <c r="AA136">
        <v>593247.25</v>
      </c>
      <c r="AB136">
        <v>3618</v>
      </c>
      <c r="AC136">
        <v>11</v>
      </c>
      <c r="AD136">
        <v>52285.45</v>
      </c>
      <c r="AE136">
        <v>95.6</v>
      </c>
      <c r="AF136">
        <v>8.5999999999999993E-2</v>
      </c>
      <c r="AG136">
        <v>4.4000000000000004</v>
      </c>
      <c r="AH136">
        <v>1</v>
      </c>
      <c r="AI136">
        <f t="shared" si="30"/>
        <v>0</v>
      </c>
      <c r="AJ136">
        <f t="shared" si="31"/>
        <v>0</v>
      </c>
      <c r="AK136">
        <f t="shared" si="32"/>
        <v>0</v>
      </c>
      <c r="AL136">
        <f t="shared" si="33"/>
        <v>0</v>
      </c>
      <c r="AM136">
        <f t="shared" si="34"/>
        <v>0</v>
      </c>
      <c r="AN136">
        <f t="shared" si="35"/>
        <v>0</v>
      </c>
    </row>
    <row r="137" spans="1:40" x14ac:dyDescent="0.3">
      <c r="A137" t="s">
        <v>55</v>
      </c>
      <c r="B137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24"/>
        <v>0</v>
      </c>
      <c r="P137">
        <f t="shared" si="25"/>
        <v>0</v>
      </c>
      <c r="Q137">
        <f t="shared" si="26"/>
        <v>0</v>
      </c>
      <c r="R137">
        <f t="shared" si="27"/>
        <v>0</v>
      </c>
      <c r="S137">
        <f t="shared" si="28"/>
        <v>0</v>
      </c>
      <c r="T137">
        <f t="shared" si="29"/>
        <v>0</v>
      </c>
      <c r="AA137">
        <v>529075.94999999995</v>
      </c>
      <c r="AB137">
        <v>1963</v>
      </c>
      <c r="AC137">
        <v>8</v>
      </c>
      <c r="AD137">
        <v>70366.759999999995</v>
      </c>
      <c r="AE137">
        <v>89.8</v>
      </c>
      <c r="AF137">
        <v>0.182</v>
      </c>
      <c r="AG137">
        <v>4.5999999999999996</v>
      </c>
      <c r="AH137">
        <v>0</v>
      </c>
      <c r="AI137">
        <f t="shared" si="30"/>
        <v>0</v>
      </c>
      <c r="AJ137">
        <f t="shared" si="31"/>
        <v>0</v>
      </c>
      <c r="AK137">
        <f t="shared" si="32"/>
        <v>0</v>
      </c>
      <c r="AL137">
        <f t="shared" si="33"/>
        <v>0</v>
      </c>
      <c r="AM137">
        <f t="shared" si="34"/>
        <v>0</v>
      </c>
      <c r="AN137">
        <f t="shared" si="35"/>
        <v>0</v>
      </c>
    </row>
    <row r="138" spans="1:40" x14ac:dyDescent="0.3">
      <c r="A138" t="s">
        <v>56</v>
      </c>
      <c r="B138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</v>
      </c>
      <c r="M138">
        <v>633638.03</v>
      </c>
      <c r="N138">
        <v>99402.01</v>
      </c>
      <c r="O138">
        <f t="shared" si="24"/>
        <v>0</v>
      </c>
      <c r="P138">
        <f t="shared" si="25"/>
        <v>0</v>
      </c>
      <c r="Q138">
        <f t="shared" si="26"/>
        <v>0</v>
      </c>
      <c r="R138">
        <f t="shared" si="27"/>
        <v>0</v>
      </c>
      <c r="S138">
        <f t="shared" si="28"/>
        <v>0</v>
      </c>
      <c r="T138">
        <f t="shared" si="29"/>
        <v>0</v>
      </c>
      <c r="AA138">
        <v>633638.03</v>
      </c>
      <c r="AB138">
        <v>7888</v>
      </c>
      <c r="AC138">
        <v>20</v>
      </c>
      <c r="AD138">
        <v>71320.66</v>
      </c>
      <c r="AE138">
        <v>78.099999999999994</v>
      </c>
      <c r="AF138">
        <v>4.8000000000000001E-2</v>
      </c>
      <c r="AG138">
        <v>3.9</v>
      </c>
      <c r="AH138">
        <v>0</v>
      </c>
      <c r="AI138">
        <f t="shared" si="30"/>
        <v>0</v>
      </c>
      <c r="AJ138">
        <f t="shared" si="31"/>
        <v>0</v>
      </c>
      <c r="AK138">
        <f t="shared" si="32"/>
        <v>0</v>
      </c>
      <c r="AL138">
        <f t="shared" si="33"/>
        <v>0</v>
      </c>
      <c r="AM138">
        <f t="shared" si="34"/>
        <v>0</v>
      </c>
      <c r="AN138">
        <f t="shared" si="35"/>
        <v>0</v>
      </c>
    </row>
    <row r="139" spans="1:40" x14ac:dyDescent="0.3">
      <c r="A139" t="s">
        <v>56</v>
      </c>
      <c r="B139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24"/>
        <v>0</v>
      </c>
      <c r="P139">
        <f t="shared" si="25"/>
        <v>0</v>
      </c>
      <c r="Q139">
        <f t="shared" si="26"/>
        <v>0</v>
      </c>
      <c r="R139">
        <f t="shared" si="27"/>
        <v>0</v>
      </c>
      <c r="S139">
        <f t="shared" si="28"/>
        <v>0</v>
      </c>
      <c r="T139">
        <f t="shared" si="29"/>
        <v>0</v>
      </c>
      <c r="AA139">
        <v>743348.84</v>
      </c>
      <c r="AB139">
        <v>6244</v>
      </c>
      <c r="AC139">
        <v>15</v>
      </c>
      <c r="AD139">
        <v>75109.67</v>
      </c>
      <c r="AE139">
        <v>96.3</v>
      </c>
      <c r="AF139">
        <v>7.9000000000000001E-2</v>
      </c>
      <c r="AG139">
        <v>3.7</v>
      </c>
      <c r="AH139">
        <v>0</v>
      </c>
      <c r="AI139">
        <f t="shared" si="30"/>
        <v>0</v>
      </c>
      <c r="AJ139">
        <f t="shared" si="31"/>
        <v>0</v>
      </c>
      <c r="AK139">
        <f t="shared" si="32"/>
        <v>0</v>
      </c>
      <c r="AL139">
        <f t="shared" si="33"/>
        <v>0</v>
      </c>
      <c r="AM139">
        <f t="shared" si="34"/>
        <v>0</v>
      </c>
      <c r="AN139">
        <f t="shared" si="35"/>
        <v>0</v>
      </c>
    </row>
    <row r="140" spans="1:40" x14ac:dyDescent="0.3">
      <c r="A140" t="s">
        <v>56</v>
      </c>
      <c r="B140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24"/>
        <v>0</v>
      </c>
      <c r="P140">
        <f t="shared" si="25"/>
        <v>0</v>
      </c>
      <c r="Q140">
        <f t="shared" si="26"/>
        <v>0</v>
      </c>
      <c r="R140">
        <f t="shared" si="27"/>
        <v>0</v>
      </c>
      <c r="S140">
        <f t="shared" si="28"/>
        <v>0</v>
      </c>
      <c r="T140">
        <f t="shared" si="29"/>
        <v>0</v>
      </c>
      <c r="AA140">
        <v>758827.64</v>
      </c>
      <c r="AB140">
        <v>6544</v>
      </c>
      <c r="AC140">
        <v>18</v>
      </c>
      <c r="AD140">
        <v>69779</v>
      </c>
      <c r="AE140">
        <v>90.2</v>
      </c>
      <c r="AF140">
        <v>0.152</v>
      </c>
      <c r="AG140">
        <v>3.3</v>
      </c>
      <c r="AH140">
        <v>1</v>
      </c>
      <c r="AI140">
        <f t="shared" si="30"/>
        <v>0</v>
      </c>
      <c r="AJ140">
        <f t="shared" si="31"/>
        <v>0</v>
      </c>
      <c r="AK140">
        <f t="shared" si="32"/>
        <v>0</v>
      </c>
      <c r="AL140">
        <f t="shared" si="33"/>
        <v>0</v>
      </c>
      <c r="AM140">
        <f t="shared" si="34"/>
        <v>0</v>
      </c>
      <c r="AN140">
        <f t="shared" si="35"/>
        <v>0</v>
      </c>
    </row>
    <row r="141" spans="1:40" x14ac:dyDescent="0.3">
      <c r="A141" t="s">
        <v>56</v>
      </c>
      <c r="B141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24"/>
        <v>0</v>
      </c>
      <c r="P141">
        <f t="shared" si="25"/>
        <v>0</v>
      </c>
      <c r="Q141">
        <f t="shared" si="26"/>
        <v>0</v>
      </c>
      <c r="R141">
        <f t="shared" si="27"/>
        <v>0</v>
      </c>
      <c r="S141">
        <f t="shared" si="28"/>
        <v>0</v>
      </c>
      <c r="T141">
        <f t="shared" si="29"/>
        <v>0</v>
      </c>
      <c r="AA141">
        <v>646559.71</v>
      </c>
      <c r="AB141">
        <v>5465</v>
      </c>
      <c r="AC141">
        <v>12</v>
      </c>
      <c r="AD141">
        <v>44211.95</v>
      </c>
      <c r="AE141">
        <v>90</v>
      </c>
      <c r="AF141">
        <v>0.187</v>
      </c>
      <c r="AG141">
        <v>3.6</v>
      </c>
      <c r="AH141">
        <v>0</v>
      </c>
      <c r="AI141">
        <f t="shared" si="30"/>
        <v>0</v>
      </c>
      <c r="AJ141">
        <f t="shared" si="31"/>
        <v>0</v>
      </c>
      <c r="AK141">
        <f t="shared" si="32"/>
        <v>0</v>
      </c>
      <c r="AL141">
        <f t="shared" si="33"/>
        <v>0</v>
      </c>
      <c r="AM141">
        <f t="shared" si="34"/>
        <v>0</v>
      </c>
      <c r="AN141">
        <f t="shared" si="35"/>
        <v>0</v>
      </c>
    </row>
    <row r="142" spans="1:40" x14ac:dyDescent="0.3">
      <c r="A142" t="s">
        <v>57</v>
      </c>
      <c r="B14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24"/>
        <v>0</v>
      </c>
      <c r="P142">
        <f t="shared" si="25"/>
        <v>0</v>
      </c>
      <c r="Q142">
        <f t="shared" si="26"/>
        <v>0</v>
      </c>
      <c r="R142">
        <f t="shared" si="27"/>
        <v>0</v>
      </c>
      <c r="S142">
        <f t="shared" si="28"/>
        <v>0</v>
      </c>
      <c r="T142">
        <f t="shared" si="29"/>
        <v>0</v>
      </c>
      <c r="AA142">
        <v>715890.53</v>
      </c>
      <c r="AB142">
        <v>6427</v>
      </c>
      <c r="AC142">
        <v>14</v>
      </c>
      <c r="AD142">
        <v>51430.31</v>
      </c>
      <c r="AE142">
        <v>88.8</v>
      </c>
      <c r="AF142">
        <v>0.23400000000000001</v>
      </c>
      <c r="AG142">
        <v>4.0999999999999996</v>
      </c>
      <c r="AH142">
        <v>0</v>
      </c>
      <c r="AI142">
        <f t="shared" si="30"/>
        <v>0</v>
      </c>
      <c r="AJ142">
        <f t="shared" si="31"/>
        <v>0</v>
      </c>
      <c r="AK142">
        <f t="shared" si="32"/>
        <v>0</v>
      </c>
      <c r="AL142">
        <f t="shared" si="33"/>
        <v>0</v>
      </c>
      <c r="AM142">
        <f t="shared" si="34"/>
        <v>0</v>
      </c>
      <c r="AN142">
        <f t="shared" si="35"/>
        <v>0</v>
      </c>
    </row>
    <row r="143" spans="1:40" x14ac:dyDescent="0.3">
      <c r="A143" t="s">
        <v>57</v>
      </c>
      <c r="B14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24"/>
        <v>0</v>
      </c>
      <c r="P143">
        <f t="shared" si="25"/>
        <v>0</v>
      </c>
      <c r="Q143">
        <f t="shared" si="26"/>
        <v>0</v>
      </c>
      <c r="R143">
        <f t="shared" si="27"/>
        <v>0</v>
      </c>
      <c r="S143">
        <f t="shared" si="28"/>
        <v>0</v>
      </c>
      <c r="T143">
        <f t="shared" si="29"/>
        <v>0</v>
      </c>
      <c r="AA143">
        <v>715097.57</v>
      </c>
      <c r="AB143">
        <v>6704</v>
      </c>
      <c r="AC143">
        <v>15</v>
      </c>
      <c r="AD143">
        <v>45706.49</v>
      </c>
      <c r="AE143">
        <v>94.2</v>
      </c>
      <c r="AF143">
        <v>3.7999999999999999E-2</v>
      </c>
      <c r="AG143">
        <v>4.2</v>
      </c>
      <c r="AH143">
        <v>0</v>
      </c>
      <c r="AI143">
        <f t="shared" si="30"/>
        <v>0</v>
      </c>
      <c r="AJ143">
        <f t="shared" si="31"/>
        <v>0</v>
      </c>
      <c r="AK143">
        <f t="shared" si="32"/>
        <v>0</v>
      </c>
      <c r="AL143">
        <f t="shared" si="33"/>
        <v>0</v>
      </c>
      <c r="AM143">
        <f t="shared" si="34"/>
        <v>0</v>
      </c>
      <c r="AN143">
        <f t="shared" si="35"/>
        <v>0</v>
      </c>
    </row>
    <row r="144" spans="1:40" x14ac:dyDescent="0.3">
      <c r="A144" t="s">
        <v>57</v>
      </c>
      <c r="B144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24"/>
        <v>0</v>
      </c>
      <c r="P144">
        <f t="shared" si="25"/>
        <v>0</v>
      </c>
      <c r="Q144">
        <f t="shared" si="26"/>
        <v>0</v>
      </c>
      <c r="R144">
        <f t="shared" si="27"/>
        <v>0</v>
      </c>
      <c r="S144">
        <f t="shared" si="28"/>
        <v>0</v>
      </c>
      <c r="T144">
        <f t="shared" si="29"/>
        <v>0</v>
      </c>
      <c r="AA144">
        <v>682639.28</v>
      </c>
      <c r="AB144">
        <v>5645</v>
      </c>
      <c r="AC144">
        <v>18</v>
      </c>
      <c r="AD144">
        <v>44034.6</v>
      </c>
      <c r="AE144">
        <v>88.5</v>
      </c>
      <c r="AF144">
        <v>6.9000000000000006E-2</v>
      </c>
      <c r="AG144">
        <v>3.8</v>
      </c>
      <c r="AH144">
        <v>0</v>
      </c>
      <c r="AI144">
        <f t="shared" si="30"/>
        <v>0</v>
      </c>
      <c r="AJ144">
        <f t="shared" si="31"/>
        <v>0</v>
      </c>
      <c r="AK144">
        <f t="shared" si="32"/>
        <v>0</v>
      </c>
      <c r="AL144">
        <f t="shared" si="33"/>
        <v>0</v>
      </c>
      <c r="AM144">
        <f t="shared" si="34"/>
        <v>0</v>
      </c>
      <c r="AN144">
        <f t="shared" si="35"/>
        <v>0</v>
      </c>
    </row>
    <row r="145" spans="1:40" x14ac:dyDescent="0.3">
      <c r="A145" t="s">
        <v>57</v>
      </c>
      <c r="B145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24"/>
        <v>0</v>
      </c>
      <c r="P145">
        <f t="shared" si="25"/>
        <v>0</v>
      </c>
      <c r="Q145">
        <f t="shared" si="26"/>
        <v>0</v>
      </c>
      <c r="R145">
        <f t="shared" si="27"/>
        <v>0</v>
      </c>
      <c r="S145">
        <f t="shared" si="28"/>
        <v>0</v>
      </c>
      <c r="T145">
        <f t="shared" si="29"/>
        <v>0</v>
      </c>
      <c r="AA145">
        <v>695098.51</v>
      </c>
      <c r="AB145">
        <v>6089</v>
      </c>
      <c r="AC145">
        <v>19</v>
      </c>
      <c r="AD145">
        <v>50198.12</v>
      </c>
      <c r="AE145">
        <v>94</v>
      </c>
      <c r="AF145">
        <v>0.182</v>
      </c>
      <c r="AG145">
        <v>3.9</v>
      </c>
      <c r="AH145">
        <v>0</v>
      </c>
      <c r="AI145">
        <f t="shared" si="30"/>
        <v>0</v>
      </c>
      <c r="AJ145">
        <f t="shared" si="31"/>
        <v>0</v>
      </c>
      <c r="AK145">
        <f t="shared" si="32"/>
        <v>0</v>
      </c>
      <c r="AL145">
        <f t="shared" si="33"/>
        <v>0</v>
      </c>
      <c r="AM145">
        <f t="shared" si="34"/>
        <v>0</v>
      </c>
      <c r="AN145">
        <f t="shared" si="35"/>
        <v>0</v>
      </c>
    </row>
    <row r="146" spans="1:40" x14ac:dyDescent="0.3">
      <c r="A146" t="s">
        <v>58</v>
      </c>
      <c r="B146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24"/>
        <v>0</v>
      </c>
      <c r="P146">
        <f t="shared" si="25"/>
        <v>0</v>
      </c>
      <c r="Q146">
        <f t="shared" si="26"/>
        <v>0</v>
      </c>
      <c r="R146">
        <f t="shared" si="27"/>
        <v>0</v>
      </c>
      <c r="S146">
        <f t="shared" si="28"/>
        <v>0</v>
      </c>
      <c r="T146">
        <f t="shared" si="29"/>
        <v>0</v>
      </c>
      <c r="AA146">
        <v>577732.56999999995</v>
      </c>
      <c r="AB146">
        <v>4312</v>
      </c>
      <c r="AC146">
        <v>12</v>
      </c>
      <c r="AD146">
        <v>70488.2</v>
      </c>
      <c r="AE146">
        <v>90.2</v>
      </c>
      <c r="AF146">
        <v>0.16900000000000001</v>
      </c>
      <c r="AG146">
        <v>3.2</v>
      </c>
      <c r="AH146">
        <v>0</v>
      </c>
      <c r="AI146">
        <f t="shared" si="30"/>
        <v>0</v>
      </c>
      <c r="AJ146">
        <f t="shared" si="31"/>
        <v>0</v>
      </c>
      <c r="AK146">
        <f t="shared" si="32"/>
        <v>0</v>
      </c>
      <c r="AL146">
        <f t="shared" si="33"/>
        <v>0</v>
      </c>
      <c r="AM146">
        <f t="shared" si="34"/>
        <v>0</v>
      </c>
      <c r="AN146">
        <f t="shared" si="35"/>
        <v>0</v>
      </c>
    </row>
    <row r="147" spans="1:40" x14ac:dyDescent="0.3">
      <c r="A147" t="s">
        <v>58</v>
      </c>
      <c r="B147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24"/>
        <v>0</v>
      </c>
      <c r="P147">
        <f t="shared" si="25"/>
        <v>0</v>
      </c>
      <c r="Q147">
        <f t="shared" si="26"/>
        <v>0</v>
      </c>
      <c r="R147">
        <f t="shared" si="27"/>
        <v>0</v>
      </c>
      <c r="S147">
        <f t="shared" si="28"/>
        <v>0</v>
      </c>
      <c r="T147">
        <f t="shared" si="29"/>
        <v>0</v>
      </c>
      <c r="AA147">
        <v>537058.32999999996</v>
      </c>
      <c r="AB147">
        <v>3152</v>
      </c>
      <c r="AC147">
        <v>13</v>
      </c>
      <c r="AD147">
        <v>50909.27</v>
      </c>
      <c r="AE147">
        <v>93.7</v>
      </c>
      <c r="AF147">
        <v>0.06</v>
      </c>
      <c r="AG147">
        <v>3.5</v>
      </c>
      <c r="AH147">
        <v>0</v>
      </c>
      <c r="AI147">
        <f t="shared" si="30"/>
        <v>0</v>
      </c>
      <c r="AJ147">
        <f t="shared" si="31"/>
        <v>0</v>
      </c>
      <c r="AK147">
        <f t="shared" si="32"/>
        <v>0</v>
      </c>
      <c r="AL147">
        <f t="shared" si="33"/>
        <v>0</v>
      </c>
      <c r="AM147">
        <f t="shared" si="34"/>
        <v>0</v>
      </c>
      <c r="AN147">
        <f t="shared" si="35"/>
        <v>0</v>
      </c>
    </row>
    <row r="148" spans="1:40" x14ac:dyDescent="0.3">
      <c r="A148" t="s">
        <v>58</v>
      </c>
      <c r="B148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24"/>
        <v>0</v>
      </c>
      <c r="P148">
        <f t="shared" si="25"/>
        <v>0</v>
      </c>
      <c r="Q148">
        <f t="shared" si="26"/>
        <v>0</v>
      </c>
      <c r="R148">
        <f t="shared" si="27"/>
        <v>0</v>
      </c>
      <c r="S148">
        <f t="shared" si="28"/>
        <v>0</v>
      </c>
      <c r="T148">
        <f t="shared" si="29"/>
        <v>0</v>
      </c>
      <c r="AA148">
        <v>601568.87</v>
      </c>
      <c r="AB148">
        <v>4259</v>
      </c>
      <c r="AC148">
        <v>15</v>
      </c>
      <c r="AD148">
        <v>53351.7</v>
      </c>
      <c r="AE148">
        <v>93.7</v>
      </c>
      <c r="AF148">
        <v>0.156</v>
      </c>
      <c r="AG148">
        <v>3.4</v>
      </c>
      <c r="AH148">
        <v>0</v>
      </c>
      <c r="AI148">
        <f t="shared" si="30"/>
        <v>0</v>
      </c>
      <c r="AJ148">
        <f t="shared" si="31"/>
        <v>0</v>
      </c>
      <c r="AK148">
        <f t="shared" si="32"/>
        <v>0</v>
      </c>
      <c r="AL148">
        <f t="shared" si="33"/>
        <v>0</v>
      </c>
      <c r="AM148">
        <f t="shared" si="34"/>
        <v>0</v>
      </c>
      <c r="AN148">
        <f t="shared" si="35"/>
        <v>0</v>
      </c>
    </row>
    <row r="149" spans="1:40" x14ac:dyDescent="0.3">
      <c r="A149" t="s">
        <v>58</v>
      </c>
      <c r="B149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24"/>
        <v>0</v>
      </c>
      <c r="P149">
        <f t="shared" si="25"/>
        <v>0</v>
      </c>
      <c r="Q149">
        <f t="shared" si="26"/>
        <v>0</v>
      </c>
      <c r="R149">
        <f t="shared" si="27"/>
        <v>0</v>
      </c>
      <c r="S149">
        <f t="shared" si="28"/>
        <v>0</v>
      </c>
      <c r="T149">
        <f t="shared" si="29"/>
        <v>0</v>
      </c>
      <c r="AA149">
        <v>570964.84</v>
      </c>
      <c r="AB149">
        <v>3350</v>
      </c>
      <c r="AC149">
        <v>12</v>
      </c>
      <c r="AD149">
        <v>60322.400000000001</v>
      </c>
      <c r="AE149">
        <v>89.4</v>
      </c>
      <c r="AF149">
        <v>0.108</v>
      </c>
      <c r="AG149">
        <v>3.4</v>
      </c>
      <c r="AH149">
        <v>0</v>
      </c>
      <c r="AI149">
        <f t="shared" si="30"/>
        <v>0</v>
      </c>
      <c r="AJ149">
        <f t="shared" si="31"/>
        <v>0</v>
      </c>
      <c r="AK149">
        <f t="shared" si="32"/>
        <v>0</v>
      </c>
      <c r="AL149">
        <f t="shared" si="33"/>
        <v>0</v>
      </c>
      <c r="AM149">
        <f t="shared" si="34"/>
        <v>0</v>
      </c>
      <c r="AN149">
        <f t="shared" si="35"/>
        <v>0</v>
      </c>
    </row>
    <row r="150" spans="1:40" x14ac:dyDescent="0.3">
      <c r="A150" t="s">
        <v>59</v>
      </c>
      <c r="B150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24"/>
        <v>0</v>
      </c>
      <c r="P150">
        <f t="shared" si="25"/>
        <v>0</v>
      </c>
      <c r="Q150">
        <f t="shared" si="26"/>
        <v>0</v>
      </c>
      <c r="R150">
        <f t="shared" si="27"/>
        <v>0</v>
      </c>
      <c r="S150">
        <f t="shared" si="28"/>
        <v>0</v>
      </c>
      <c r="T150">
        <f t="shared" si="29"/>
        <v>0</v>
      </c>
      <c r="AA150">
        <v>614024.91</v>
      </c>
      <c r="AB150">
        <v>5329</v>
      </c>
      <c r="AC150">
        <v>17</v>
      </c>
      <c r="AD150">
        <v>51575.68</v>
      </c>
      <c r="AE150">
        <v>88.1</v>
      </c>
      <c r="AF150">
        <v>4.7E-2</v>
      </c>
      <c r="AG150">
        <v>3.8</v>
      </c>
      <c r="AH150">
        <v>0</v>
      </c>
      <c r="AI150">
        <f t="shared" si="30"/>
        <v>0</v>
      </c>
      <c r="AJ150">
        <f t="shared" si="31"/>
        <v>0</v>
      </c>
      <c r="AK150">
        <f t="shared" si="32"/>
        <v>0</v>
      </c>
      <c r="AL150">
        <f t="shared" si="33"/>
        <v>0</v>
      </c>
      <c r="AM150">
        <f t="shared" si="34"/>
        <v>0</v>
      </c>
      <c r="AN150">
        <f t="shared" si="35"/>
        <v>0</v>
      </c>
    </row>
    <row r="151" spans="1:40" x14ac:dyDescent="0.3">
      <c r="A151" t="s">
        <v>59</v>
      </c>
      <c r="B151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24"/>
        <v>0</v>
      </c>
      <c r="P151">
        <f t="shared" si="25"/>
        <v>0</v>
      </c>
      <c r="Q151">
        <f t="shared" si="26"/>
        <v>0</v>
      </c>
      <c r="R151">
        <f t="shared" si="27"/>
        <v>0</v>
      </c>
      <c r="S151">
        <f t="shared" si="28"/>
        <v>0</v>
      </c>
      <c r="T151">
        <f t="shared" si="29"/>
        <v>0</v>
      </c>
      <c r="AA151">
        <v>712868.35</v>
      </c>
      <c r="AB151">
        <v>6551</v>
      </c>
      <c r="AC151">
        <v>13</v>
      </c>
      <c r="AD151">
        <v>43319.94</v>
      </c>
      <c r="AE151">
        <v>99</v>
      </c>
      <c r="AF151">
        <v>4.3999999999999997E-2</v>
      </c>
      <c r="AG151">
        <v>4.0999999999999996</v>
      </c>
      <c r="AH151">
        <v>0</v>
      </c>
      <c r="AI151">
        <f t="shared" si="30"/>
        <v>0</v>
      </c>
      <c r="AJ151">
        <f t="shared" si="31"/>
        <v>0</v>
      </c>
      <c r="AK151">
        <f t="shared" si="32"/>
        <v>0</v>
      </c>
      <c r="AL151">
        <f t="shared" si="33"/>
        <v>0</v>
      </c>
      <c r="AM151">
        <f t="shared" si="34"/>
        <v>0</v>
      </c>
      <c r="AN151">
        <f t="shared" si="35"/>
        <v>0</v>
      </c>
    </row>
    <row r="152" spans="1:40" x14ac:dyDescent="0.3">
      <c r="A152" t="s">
        <v>59</v>
      </c>
      <c r="B15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24"/>
        <v>0</v>
      </c>
      <c r="P152">
        <f t="shared" si="25"/>
        <v>0</v>
      </c>
      <c r="Q152">
        <f t="shared" si="26"/>
        <v>0</v>
      </c>
      <c r="R152">
        <f t="shared" si="27"/>
        <v>0</v>
      </c>
      <c r="S152">
        <f t="shared" si="28"/>
        <v>0</v>
      </c>
      <c r="T152">
        <f t="shared" si="29"/>
        <v>0</v>
      </c>
      <c r="AA152">
        <v>696744.15</v>
      </c>
      <c r="AB152">
        <v>5550</v>
      </c>
      <c r="AC152">
        <v>12</v>
      </c>
      <c r="AD152">
        <v>47093.55</v>
      </c>
      <c r="AE152">
        <v>95</v>
      </c>
      <c r="AF152">
        <v>0.1</v>
      </c>
      <c r="AG152">
        <v>3.7</v>
      </c>
      <c r="AH152">
        <v>1</v>
      </c>
      <c r="AI152">
        <f t="shared" si="30"/>
        <v>0</v>
      </c>
      <c r="AJ152">
        <f t="shared" si="31"/>
        <v>0</v>
      </c>
      <c r="AK152">
        <f t="shared" si="32"/>
        <v>0</v>
      </c>
      <c r="AL152">
        <f t="shared" si="33"/>
        <v>0</v>
      </c>
      <c r="AM152">
        <f t="shared" si="34"/>
        <v>0</v>
      </c>
      <c r="AN152">
        <f t="shared" si="35"/>
        <v>0</v>
      </c>
    </row>
    <row r="153" spans="1:40" x14ac:dyDescent="0.3">
      <c r="A153" t="s">
        <v>59</v>
      </c>
      <c r="B15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24"/>
        <v>0</v>
      </c>
      <c r="P153">
        <f t="shared" si="25"/>
        <v>0</v>
      </c>
      <c r="Q153">
        <f t="shared" si="26"/>
        <v>0</v>
      </c>
      <c r="R153">
        <f t="shared" si="27"/>
        <v>0</v>
      </c>
      <c r="S153">
        <f t="shared" si="28"/>
        <v>0</v>
      </c>
      <c r="T153">
        <f t="shared" si="29"/>
        <v>0</v>
      </c>
      <c r="AA153">
        <v>725847.99</v>
      </c>
      <c r="AB153">
        <v>5911</v>
      </c>
      <c r="AC153">
        <v>15</v>
      </c>
      <c r="AD153">
        <v>71855.09</v>
      </c>
      <c r="AE153">
        <v>94.3</v>
      </c>
      <c r="AF153">
        <v>0.19700000000000001</v>
      </c>
      <c r="AG153">
        <v>4.0999999999999996</v>
      </c>
      <c r="AH153">
        <v>0</v>
      </c>
      <c r="AI153">
        <f t="shared" si="30"/>
        <v>0</v>
      </c>
      <c r="AJ153">
        <f t="shared" si="31"/>
        <v>0</v>
      </c>
      <c r="AK153">
        <f t="shared" si="32"/>
        <v>0</v>
      </c>
      <c r="AL153">
        <f t="shared" si="33"/>
        <v>0</v>
      </c>
      <c r="AM153">
        <f t="shared" si="34"/>
        <v>0</v>
      </c>
      <c r="AN153">
        <f t="shared" si="35"/>
        <v>0</v>
      </c>
    </row>
    <row r="154" spans="1:40" x14ac:dyDescent="0.3">
      <c r="A154" t="s">
        <v>60</v>
      </c>
      <c r="B154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24"/>
        <v>0</v>
      </c>
      <c r="P154">
        <f t="shared" si="25"/>
        <v>0</v>
      </c>
      <c r="Q154">
        <f t="shared" si="26"/>
        <v>0</v>
      </c>
      <c r="R154">
        <f t="shared" si="27"/>
        <v>0</v>
      </c>
      <c r="S154">
        <f t="shared" si="28"/>
        <v>0</v>
      </c>
      <c r="T154">
        <f t="shared" si="29"/>
        <v>0</v>
      </c>
      <c r="AA154">
        <v>785028.25</v>
      </c>
      <c r="AB154">
        <v>9674</v>
      </c>
      <c r="AC154">
        <v>21</v>
      </c>
      <c r="AD154">
        <v>75645.23</v>
      </c>
      <c r="AE154">
        <v>87.4</v>
      </c>
      <c r="AF154">
        <v>0.23400000000000001</v>
      </c>
      <c r="AG154">
        <v>4.5</v>
      </c>
      <c r="AH154">
        <v>0</v>
      </c>
      <c r="AI154">
        <f t="shared" si="30"/>
        <v>0</v>
      </c>
      <c r="AJ154">
        <f t="shared" si="31"/>
        <v>0</v>
      </c>
      <c r="AK154">
        <f t="shared" si="32"/>
        <v>0</v>
      </c>
      <c r="AL154">
        <f t="shared" si="33"/>
        <v>0</v>
      </c>
      <c r="AM154">
        <f t="shared" si="34"/>
        <v>0</v>
      </c>
      <c r="AN154">
        <f t="shared" si="35"/>
        <v>0</v>
      </c>
    </row>
    <row r="155" spans="1:40" x14ac:dyDescent="0.3">
      <c r="A155" t="s">
        <v>60</v>
      </c>
      <c r="B155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24"/>
        <v>0</v>
      </c>
      <c r="P155">
        <f t="shared" si="25"/>
        <v>0</v>
      </c>
      <c r="Q155">
        <f t="shared" si="26"/>
        <v>0</v>
      </c>
      <c r="R155">
        <f t="shared" si="27"/>
        <v>0</v>
      </c>
      <c r="S155">
        <f t="shared" si="28"/>
        <v>0</v>
      </c>
      <c r="T155">
        <f t="shared" si="29"/>
        <v>0</v>
      </c>
      <c r="AA155">
        <v>698492.67</v>
      </c>
      <c r="AB155">
        <v>6740</v>
      </c>
      <c r="AC155">
        <v>18</v>
      </c>
      <c r="AD155">
        <v>64374.75</v>
      </c>
      <c r="AE155">
        <v>87</v>
      </c>
      <c r="AF155">
        <v>0.16900000000000001</v>
      </c>
      <c r="AG155">
        <v>4.2</v>
      </c>
      <c r="AH155">
        <v>0</v>
      </c>
      <c r="AI155">
        <f t="shared" si="30"/>
        <v>0</v>
      </c>
      <c r="AJ155">
        <f t="shared" si="31"/>
        <v>0</v>
      </c>
      <c r="AK155">
        <f t="shared" si="32"/>
        <v>0</v>
      </c>
      <c r="AL155">
        <f t="shared" si="33"/>
        <v>0</v>
      </c>
      <c r="AM155">
        <f t="shared" si="34"/>
        <v>0</v>
      </c>
      <c r="AN155">
        <f t="shared" si="35"/>
        <v>0</v>
      </c>
    </row>
    <row r="156" spans="1:40" x14ac:dyDescent="0.3">
      <c r="A156" t="s">
        <v>60</v>
      </c>
      <c r="B156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24"/>
        <v>0</v>
      </c>
      <c r="P156">
        <f t="shared" si="25"/>
        <v>0</v>
      </c>
      <c r="Q156">
        <f t="shared" si="26"/>
        <v>0</v>
      </c>
      <c r="R156">
        <f t="shared" si="27"/>
        <v>0</v>
      </c>
      <c r="S156">
        <f t="shared" si="28"/>
        <v>0</v>
      </c>
      <c r="T156">
        <f t="shared" si="29"/>
        <v>0</v>
      </c>
      <c r="AA156">
        <v>685830.24</v>
      </c>
      <c r="AB156">
        <v>7745</v>
      </c>
      <c r="AC156">
        <v>16</v>
      </c>
      <c r="AD156">
        <v>61433.84</v>
      </c>
      <c r="AE156">
        <v>90.5</v>
      </c>
      <c r="AF156">
        <v>0.18</v>
      </c>
      <c r="AG156">
        <v>4.2</v>
      </c>
      <c r="AH156">
        <v>0</v>
      </c>
      <c r="AI156">
        <f t="shared" si="30"/>
        <v>0</v>
      </c>
      <c r="AJ156">
        <f t="shared" si="31"/>
        <v>0</v>
      </c>
      <c r="AK156">
        <f t="shared" si="32"/>
        <v>0</v>
      </c>
      <c r="AL156">
        <f t="shared" si="33"/>
        <v>0</v>
      </c>
      <c r="AM156">
        <f t="shared" si="34"/>
        <v>0</v>
      </c>
      <c r="AN156">
        <f t="shared" si="35"/>
        <v>0</v>
      </c>
    </row>
    <row r="157" spans="1:40" x14ac:dyDescent="0.3">
      <c r="A157" t="s">
        <v>60</v>
      </c>
      <c r="B157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24"/>
        <v>0</v>
      </c>
      <c r="P157">
        <f t="shared" si="25"/>
        <v>0</v>
      </c>
      <c r="Q157">
        <f t="shared" si="26"/>
        <v>0</v>
      </c>
      <c r="R157">
        <f t="shared" si="27"/>
        <v>0</v>
      </c>
      <c r="S157">
        <f t="shared" si="28"/>
        <v>0</v>
      </c>
      <c r="T157">
        <f t="shared" si="29"/>
        <v>0</v>
      </c>
      <c r="AA157">
        <v>702318.94</v>
      </c>
      <c r="AB157">
        <v>7693</v>
      </c>
      <c r="AC157">
        <v>19</v>
      </c>
      <c r="AD157">
        <v>42698.14</v>
      </c>
      <c r="AE157">
        <v>90.1</v>
      </c>
      <c r="AF157">
        <v>0.187</v>
      </c>
      <c r="AG157">
        <v>4.4000000000000004</v>
      </c>
      <c r="AH157">
        <v>0</v>
      </c>
      <c r="AI157">
        <f t="shared" si="30"/>
        <v>0</v>
      </c>
      <c r="AJ157">
        <f t="shared" si="31"/>
        <v>0</v>
      </c>
      <c r="AK157">
        <f t="shared" si="32"/>
        <v>0</v>
      </c>
      <c r="AL157">
        <f t="shared" si="33"/>
        <v>0</v>
      </c>
      <c r="AM157">
        <f t="shared" si="34"/>
        <v>0</v>
      </c>
      <c r="AN157">
        <f t="shared" si="35"/>
        <v>0</v>
      </c>
    </row>
    <row r="158" spans="1:40" x14ac:dyDescent="0.3">
      <c r="A158" t="s">
        <v>61</v>
      </c>
      <c r="B158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24"/>
        <v>0</v>
      </c>
      <c r="P158">
        <f t="shared" si="25"/>
        <v>0</v>
      </c>
      <c r="Q158">
        <f t="shared" si="26"/>
        <v>0</v>
      </c>
      <c r="R158">
        <f t="shared" si="27"/>
        <v>0</v>
      </c>
      <c r="S158">
        <f t="shared" si="28"/>
        <v>0</v>
      </c>
      <c r="T158">
        <f t="shared" si="29"/>
        <v>0</v>
      </c>
      <c r="AA158">
        <v>700078.32</v>
      </c>
      <c r="AB158">
        <v>6424</v>
      </c>
      <c r="AC158">
        <v>19</v>
      </c>
      <c r="AD158">
        <v>86883.31</v>
      </c>
      <c r="AE158">
        <v>85.2</v>
      </c>
      <c r="AF158">
        <v>5.7000000000000002E-2</v>
      </c>
      <c r="AG158">
        <v>3.9</v>
      </c>
      <c r="AH158">
        <v>0</v>
      </c>
      <c r="AI158">
        <f t="shared" si="30"/>
        <v>0</v>
      </c>
      <c r="AJ158">
        <f t="shared" si="31"/>
        <v>0</v>
      </c>
      <c r="AK158">
        <f t="shared" si="32"/>
        <v>0</v>
      </c>
      <c r="AL158">
        <f t="shared" si="33"/>
        <v>0</v>
      </c>
      <c r="AM158">
        <f t="shared" si="34"/>
        <v>0</v>
      </c>
      <c r="AN158">
        <f t="shared" si="35"/>
        <v>0</v>
      </c>
    </row>
    <row r="159" spans="1:40" x14ac:dyDescent="0.3">
      <c r="A159" t="s">
        <v>61</v>
      </c>
      <c r="B159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24"/>
        <v>0</v>
      </c>
      <c r="P159">
        <f t="shared" si="25"/>
        <v>0</v>
      </c>
      <c r="Q159">
        <f t="shared" si="26"/>
        <v>0</v>
      </c>
      <c r="R159">
        <f t="shared" si="27"/>
        <v>0</v>
      </c>
      <c r="S159">
        <f t="shared" si="28"/>
        <v>0</v>
      </c>
      <c r="T159">
        <f t="shared" si="29"/>
        <v>0</v>
      </c>
      <c r="AA159">
        <v>602002.31999999995</v>
      </c>
      <c r="AB159">
        <v>5400</v>
      </c>
      <c r="AC159">
        <v>11</v>
      </c>
      <c r="AD159">
        <v>41863.08</v>
      </c>
      <c r="AE159">
        <v>91.6</v>
      </c>
      <c r="AF159">
        <v>0.114</v>
      </c>
      <c r="AG159">
        <v>3</v>
      </c>
      <c r="AH159">
        <v>0</v>
      </c>
      <c r="AI159">
        <f t="shared" si="30"/>
        <v>0</v>
      </c>
      <c r="AJ159">
        <f t="shared" si="31"/>
        <v>0</v>
      </c>
      <c r="AK159">
        <f t="shared" si="32"/>
        <v>0</v>
      </c>
      <c r="AL159">
        <f t="shared" si="33"/>
        <v>0</v>
      </c>
      <c r="AM159">
        <f t="shared" si="34"/>
        <v>0</v>
      </c>
      <c r="AN159">
        <f t="shared" si="35"/>
        <v>0</v>
      </c>
    </row>
    <row r="160" spans="1:40" x14ac:dyDescent="0.3">
      <c r="A160" t="s">
        <v>61</v>
      </c>
      <c r="B160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24"/>
        <v>0</v>
      </c>
      <c r="P160">
        <f t="shared" si="25"/>
        <v>0</v>
      </c>
      <c r="Q160">
        <f t="shared" si="26"/>
        <v>0</v>
      </c>
      <c r="R160">
        <f t="shared" si="27"/>
        <v>0</v>
      </c>
      <c r="S160">
        <f t="shared" si="28"/>
        <v>0</v>
      </c>
      <c r="T160">
        <f t="shared" si="29"/>
        <v>0</v>
      </c>
      <c r="AA160">
        <v>724216.07</v>
      </c>
      <c r="AB160">
        <v>7015</v>
      </c>
      <c r="AC160">
        <v>18</v>
      </c>
      <c r="AD160">
        <v>56918.16</v>
      </c>
      <c r="AE160">
        <v>74.2</v>
      </c>
      <c r="AF160">
        <v>0.158</v>
      </c>
      <c r="AG160">
        <v>3.4</v>
      </c>
      <c r="AH160">
        <v>0</v>
      </c>
      <c r="AI160">
        <f t="shared" si="30"/>
        <v>0</v>
      </c>
      <c r="AJ160">
        <f t="shared" si="31"/>
        <v>0</v>
      </c>
      <c r="AK160">
        <f t="shared" si="32"/>
        <v>0</v>
      </c>
      <c r="AL160">
        <f t="shared" si="33"/>
        <v>0</v>
      </c>
      <c r="AM160">
        <f t="shared" si="34"/>
        <v>0</v>
      </c>
      <c r="AN160">
        <f t="shared" si="35"/>
        <v>0</v>
      </c>
    </row>
    <row r="161" spans="1:40" x14ac:dyDescent="0.3">
      <c r="A161" t="s">
        <v>61</v>
      </c>
      <c r="B161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24"/>
        <v>0</v>
      </c>
      <c r="P161">
        <f t="shared" si="25"/>
        <v>0</v>
      </c>
      <c r="Q161">
        <f t="shared" si="26"/>
        <v>0</v>
      </c>
      <c r="R161">
        <f t="shared" si="27"/>
        <v>0</v>
      </c>
      <c r="S161">
        <f t="shared" si="28"/>
        <v>0</v>
      </c>
      <c r="T161">
        <f t="shared" si="29"/>
        <v>0</v>
      </c>
      <c r="AA161">
        <v>620973.03</v>
      </c>
      <c r="AB161">
        <v>3847</v>
      </c>
      <c r="AC161">
        <v>12</v>
      </c>
      <c r="AD161">
        <v>23254.57</v>
      </c>
      <c r="AE161">
        <v>93</v>
      </c>
      <c r="AF161">
        <v>0.159</v>
      </c>
      <c r="AG161">
        <v>3.3</v>
      </c>
      <c r="AH161">
        <v>0</v>
      </c>
      <c r="AI161">
        <f t="shared" si="30"/>
        <v>0</v>
      </c>
      <c r="AJ161">
        <f t="shared" si="31"/>
        <v>0</v>
      </c>
      <c r="AK161">
        <f t="shared" si="32"/>
        <v>0</v>
      </c>
      <c r="AL161">
        <f t="shared" si="33"/>
        <v>0</v>
      </c>
      <c r="AM161">
        <f t="shared" si="34"/>
        <v>0</v>
      </c>
      <c r="AN161">
        <f t="shared" si="35"/>
        <v>0</v>
      </c>
    </row>
    <row r="162" spans="1:40" x14ac:dyDescent="0.3">
      <c r="A162" t="s">
        <v>62</v>
      </c>
      <c r="B16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24"/>
        <v>0</v>
      </c>
      <c r="P162">
        <f t="shared" si="25"/>
        <v>0</v>
      </c>
      <c r="Q162">
        <f t="shared" si="26"/>
        <v>0</v>
      </c>
      <c r="R162">
        <f t="shared" si="27"/>
        <v>0</v>
      </c>
      <c r="S162">
        <f t="shared" si="28"/>
        <v>0</v>
      </c>
      <c r="T162">
        <f t="shared" si="29"/>
        <v>0</v>
      </c>
      <c r="AA162">
        <v>650480.06000000006</v>
      </c>
      <c r="AB162">
        <v>7455</v>
      </c>
      <c r="AC162">
        <v>16</v>
      </c>
      <c r="AD162">
        <v>41443.410000000003</v>
      </c>
      <c r="AE162">
        <v>90.1</v>
      </c>
      <c r="AF162">
        <v>0.17499999999999999</v>
      </c>
      <c r="AG162">
        <v>4</v>
      </c>
      <c r="AH162">
        <v>0</v>
      </c>
      <c r="AI162">
        <f t="shared" si="30"/>
        <v>0</v>
      </c>
      <c r="AJ162">
        <f t="shared" si="31"/>
        <v>0</v>
      </c>
      <c r="AK162">
        <f t="shared" si="32"/>
        <v>0</v>
      </c>
      <c r="AL162">
        <f t="shared" si="33"/>
        <v>0</v>
      </c>
      <c r="AM162">
        <f t="shared" si="34"/>
        <v>0</v>
      </c>
      <c r="AN162">
        <f t="shared" si="35"/>
        <v>0</v>
      </c>
    </row>
    <row r="163" spans="1:40" x14ac:dyDescent="0.3">
      <c r="A163" t="s">
        <v>62</v>
      </c>
      <c r="B16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24"/>
        <v>0</v>
      </c>
      <c r="P163">
        <f t="shared" si="25"/>
        <v>0</v>
      </c>
      <c r="Q163">
        <f t="shared" si="26"/>
        <v>0</v>
      </c>
      <c r="R163">
        <f t="shared" si="27"/>
        <v>0</v>
      </c>
      <c r="S163">
        <f t="shared" si="28"/>
        <v>0</v>
      </c>
      <c r="T163">
        <f t="shared" si="29"/>
        <v>0</v>
      </c>
      <c r="AA163">
        <v>778298.88</v>
      </c>
      <c r="AB163">
        <v>6992</v>
      </c>
      <c r="AC163">
        <v>20</v>
      </c>
      <c r="AD163">
        <v>48438.85</v>
      </c>
      <c r="AE163">
        <v>91</v>
      </c>
      <c r="AF163">
        <v>3.4000000000000002E-2</v>
      </c>
      <c r="AG163">
        <v>4.2</v>
      </c>
      <c r="AH163">
        <v>0</v>
      </c>
      <c r="AI163">
        <f t="shared" si="30"/>
        <v>0</v>
      </c>
      <c r="AJ163">
        <f t="shared" si="31"/>
        <v>0</v>
      </c>
      <c r="AK163">
        <f t="shared" si="32"/>
        <v>0</v>
      </c>
      <c r="AL163">
        <f t="shared" si="33"/>
        <v>0</v>
      </c>
      <c r="AM163">
        <f t="shared" si="34"/>
        <v>0</v>
      </c>
      <c r="AN163">
        <f t="shared" si="35"/>
        <v>0</v>
      </c>
    </row>
    <row r="164" spans="1:40" x14ac:dyDescent="0.3">
      <c r="A164" t="s">
        <v>62</v>
      </c>
      <c r="B164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3.37</v>
      </c>
      <c r="K164">
        <v>0</v>
      </c>
      <c r="L164">
        <v>4.2</v>
      </c>
      <c r="M164">
        <v>677096.71</v>
      </c>
      <c r="N164">
        <v>97174.11</v>
      </c>
      <c r="O164">
        <f t="shared" si="24"/>
        <v>0</v>
      </c>
      <c r="P164">
        <f t="shared" si="25"/>
        <v>0</v>
      </c>
      <c r="Q164">
        <f t="shared" si="26"/>
        <v>0</v>
      </c>
      <c r="R164">
        <f t="shared" si="27"/>
        <v>0</v>
      </c>
      <c r="S164">
        <f t="shared" si="28"/>
        <v>0</v>
      </c>
      <c r="T164">
        <f t="shared" si="29"/>
        <v>0</v>
      </c>
      <c r="AA164">
        <v>677096.71</v>
      </c>
      <c r="AB164">
        <v>8038</v>
      </c>
      <c r="AC164">
        <v>17</v>
      </c>
      <c r="AD164">
        <v>57143.3</v>
      </c>
      <c r="AE164">
        <v>72.599999999999994</v>
      </c>
      <c r="AF164">
        <v>0.193</v>
      </c>
      <c r="AG164">
        <v>4.2</v>
      </c>
      <c r="AH164">
        <v>0</v>
      </c>
      <c r="AI164">
        <f t="shared" si="30"/>
        <v>0</v>
      </c>
      <c r="AJ164">
        <f t="shared" si="31"/>
        <v>0</v>
      </c>
      <c r="AK164">
        <f t="shared" si="32"/>
        <v>0</v>
      </c>
      <c r="AL164">
        <f t="shared" si="33"/>
        <v>0</v>
      </c>
      <c r="AM164">
        <f t="shared" si="34"/>
        <v>0</v>
      </c>
      <c r="AN164">
        <f t="shared" si="35"/>
        <v>0</v>
      </c>
    </row>
    <row r="165" spans="1:40" x14ac:dyDescent="0.3">
      <c r="A165" t="s">
        <v>62</v>
      </c>
      <c r="B165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24"/>
        <v>0</v>
      </c>
      <c r="P165">
        <f t="shared" si="25"/>
        <v>0</v>
      </c>
      <c r="Q165">
        <f t="shared" si="26"/>
        <v>0</v>
      </c>
      <c r="R165">
        <f t="shared" si="27"/>
        <v>0</v>
      </c>
      <c r="S165">
        <f t="shared" si="28"/>
        <v>0</v>
      </c>
      <c r="T165">
        <f t="shared" si="29"/>
        <v>0</v>
      </c>
      <c r="AA165">
        <v>692008.64</v>
      </c>
      <c r="AB165">
        <v>6055</v>
      </c>
      <c r="AC165">
        <v>19</v>
      </c>
      <c r="AD165">
        <v>66870.62</v>
      </c>
      <c r="AE165">
        <v>93.8</v>
      </c>
      <c r="AF165">
        <v>7.4999999999999997E-2</v>
      </c>
      <c r="AG165">
        <v>4.3</v>
      </c>
      <c r="AH165">
        <v>0</v>
      </c>
      <c r="AI165">
        <f t="shared" si="30"/>
        <v>0</v>
      </c>
      <c r="AJ165">
        <f t="shared" si="31"/>
        <v>0</v>
      </c>
      <c r="AK165">
        <f t="shared" si="32"/>
        <v>0</v>
      </c>
      <c r="AL165">
        <f t="shared" si="33"/>
        <v>0</v>
      </c>
      <c r="AM165">
        <f t="shared" si="34"/>
        <v>0</v>
      </c>
      <c r="AN165">
        <f t="shared" si="35"/>
        <v>0</v>
      </c>
    </row>
    <row r="166" spans="1:40" x14ac:dyDescent="0.3">
      <c r="A166" t="s">
        <v>63</v>
      </c>
      <c r="B166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24"/>
        <v>0</v>
      </c>
      <c r="P166">
        <f t="shared" si="25"/>
        <v>0</v>
      </c>
      <c r="Q166">
        <f t="shared" si="26"/>
        <v>0</v>
      </c>
      <c r="R166">
        <f t="shared" si="27"/>
        <v>0</v>
      </c>
      <c r="S166">
        <f t="shared" si="28"/>
        <v>0</v>
      </c>
      <c r="T166">
        <f t="shared" si="29"/>
        <v>0</v>
      </c>
      <c r="AA166">
        <v>825797.91</v>
      </c>
      <c r="AB166">
        <v>9323</v>
      </c>
      <c r="AC166">
        <v>22</v>
      </c>
      <c r="AD166">
        <v>72150.53</v>
      </c>
      <c r="AE166">
        <v>82.9</v>
      </c>
      <c r="AF166">
        <v>0.157</v>
      </c>
      <c r="AG166">
        <v>4.3</v>
      </c>
      <c r="AH166">
        <v>1</v>
      </c>
      <c r="AI166">
        <f t="shared" si="30"/>
        <v>0</v>
      </c>
      <c r="AJ166">
        <f t="shared" si="31"/>
        <v>0</v>
      </c>
      <c r="AK166">
        <f t="shared" si="32"/>
        <v>0</v>
      </c>
      <c r="AL166">
        <f t="shared" si="33"/>
        <v>0</v>
      </c>
      <c r="AM166">
        <f t="shared" si="34"/>
        <v>0</v>
      </c>
      <c r="AN166">
        <f t="shared" si="35"/>
        <v>0</v>
      </c>
    </row>
    <row r="167" spans="1:40" x14ac:dyDescent="0.3">
      <c r="A167" t="s">
        <v>63</v>
      </c>
      <c r="B167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24"/>
        <v>0</v>
      </c>
      <c r="P167">
        <f t="shared" si="25"/>
        <v>0</v>
      </c>
      <c r="Q167">
        <f t="shared" si="26"/>
        <v>0</v>
      </c>
      <c r="R167">
        <f t="shared" si="27"/>
        <v>0</v>
      </c>
      <c r="S167">
        <f t="shared" si="28"/>
        <v>0</v>
      </c>
      <c r="T167">
        <f t="shared" si="29"/>
        <v>0</v>
      </c>
      <c r="AA167">
        <v>706285.52</v>
      </c>
      <c r="AB167">
        <v>8789</v>
      </c>
      <c r="AC167">
        <v>22</v>
      </c>
      <c r="AD167">
        <v>35303.300000000003</v>
      </c>
      <c r="AE167">
        <v>86.1</v>
      </c>
      <c r="AF167">
        <v>0.123</v>
      </c>
      <c r="AG167">
        <v>4.2</v>
      </c>
      <c r="AH167">
        <v>0</v>
      </c>
      <c r="AI167">
        <f t="shared" si="30"/>
        <v>0</v>
      </c>
      <c r="AJ167">
        <f t="shared" si="31"/>
        <v>0</v>
      </c>
      <c r="AK167">
        <f t="shared" si="32"/>
        <v>0</v>
      </c>
      <c r="AL167">
        <f t="shared" si="33"/>
        <v>0</v>
      </c>
      <c r="AM167">
        <f t="shared" si="34"/>
        <v>0</v>
      </c>
      <c r="AN167">
        <f t="shared" si="35"/>
        <v>0</v>
      </c>
    </row>
    <row r="168" spans="1:40" x14ac:dyDescent="0.3">
      <c r="A168" t="s">
        <v>63</v>
      </c>
      <c r="B168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24"/>
        <v>0</v>
      </c>
      <c r="P168">
        <f t="shared" si="25"/>
        <v>0</v>
      </c>
      <c r="Q168">
        <f t="shared" si="26"/>
        <v>0</v>
      </c>
      <c r="R168">
        <f t="shared" si="27"/>
        <v>0</v>
      </c>
      <c r="S168">
        <f t="shared" si="28"/>
        <v>0</v>
      </c>
      <c r="T168">
        <f t="shared" si="29"/>
        <v>0</v>
      </c>
      <c r="AA168">
        <v>665534.69999999995</v>
      </c>
      <c r="AB168">
        <v>6939</v>
      </c>
      <c r="AC168">
        <v>16</v>
      </c>
      <c r="AD168">
        <v>30301.86</v>
      </c>
      <c r="AE168">
        <v>90.3</v>
      </c>
      <c r="AF168">
        <v>0.09</v>
      </c>
      <c r="AG168">
        <v>4</v>
      </c>
      <c r="AH168">
        <v>0</v>
      </c>
      <c r="AI168">
        <f t="shared" si="30"/>
        <v>0</v>
      </c>
      <c r="AJ168">
        <f t="shared" si="31"/>
        <v>0</v>
      </c>
      <c r="AK168">
        <f t="shared" si="32"/>
        <v>0</v>
      </c>
      <c r="AL168">
        <f t="shared" si="33"/>
        <v>0</v>
      </c>
      <c r="AM168">
        <f t="shared" si="34"/>
        <v>0</v>
      </c>
      <c r="AN168">
        <f t="shared" si="35"/>
        <v>0</v>
      </c>
    </row>
    <row r="169" spans="1:40" x14ac:dyDescent="0.3">
      <c r="A169" t="s">
        <v>63</v>
      </c>
      <c r="B169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24"/>
        <v>0</v>
      </c>
      <c r="P169">
        <f t="shared" si="25"/>
        <v>0</v>
      </c>
      <c r="Q169">
        <f t="shared" si="26"/>
        <v>0</v>
      </c>
      <c r="R169">
        <f t="shared" si="27"/>
        <v>0</v>
      </c>
      <c r="S169">
        <f t="shared" si="28"/>
        <v>0</v>
      </c>
      <c r="T169">
        <f t="shared" si="29"/>
        <v>0</v>
      </c>
      <c r="AA169">
        <v>820729.29</v>
      </c>
      <c r="AB169">
        <v>9440</v>
      </c>
      <c r="AC169">
        <v>23</v>
      </c>
      <c r="AD169">
        <v>78432.14</v>
      </c>
      <c r="AE169">
        <v>89.2</v>
      </c>
      <c r="AF169">
        <v>0.126</v>
      </c>
      <c r="AG169">
        <v>4.0999999999999996</v>
      </c>
      <c r="AH169">
        <v>0</v>
      </c>
      <c r="AI169">
        <f t="shared" si="30"/>
        <v>0</v>
      </c>
      <c r="AJ169">
        <f t="shared" si="31"/>
        <v>0</v>
      </c>
      <c r="AK169">
        <f t="shared" si="32"/>
        <v>0</v>
      </c>
      <c r="AL169">
        <f t="shared" si="33"/>
        <v>0</v>
      </c>
      <c r="AM169">
        <f t="shared" si="34"/>
        <v>0</v>
      </c>
      <c r="AN169">
        <f t="shared" si="35"/>
        <v>0</v>
      </c>
    </row>
    <row r="170" spans="1:40" x14ac:dyDescent="0.3">
      <c r="A170" t="s">
        <v>64</v>
      </c>
      <c r="B170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24"/>
        <v>0</v>
      </c>
      <c r="P170">
        <f t="shared" si="25"/>
        <v>0</v>
      </c>
      <c r="Q170">
        <f t="shared" si="26"/>
        <v>0</v>
      </c>
      <c r="R170">
        <f t="shared" si="27"/>
        <v>0</v>
      </c>
      <c r="S170">
        <f t="shared" si="28"/>
        <v>0</v>
      </c>
      <c r="T170">
        <f t="shared" si="29"/>
        <v>0</v>
      </c>
      <c r="AA170">
        <v>739831.73</v>
      </c>
      <c r="AB170">
        <v>9374</v>
      </c>
      <c r="AC170">
        <v>25</v>
      </c>
      <c r="AD170">
        <v>62059.18</v>
      </c>
      <c r="AE170">
        <v>87.1</v>
      </c>
      <c r="AF170">
        <v>0.13600000000000001</v>
      </c>
      <c r="AG170">
        <v>4.9000000000000004</v>
      </c>
      <c r="AH170">
        <v>0</v>
      </c>
      <c r="AI170">
        <f t="shared" si="30"/>
        <v>0</v>
      </c>
      <c r="AJ170">
        <f t="shared" si="31"/>
        <v>0</v>
      </c>
      <c r="AK170">
        <f t="shared" si="32"/>
        <v>0</v>
      </c>
      <c r="AL170">
        <f t="shared" si="33"/>
        <v>0</v>
      </c>
      <c r="AM170">
        <f t="shared" si="34"/>
        <v>0</v>
      </c>
      <c r="AN170">
        <f t="shared" si="35"/>
        <v>0</v>
      </c>
    </row>
    <row r="171" spans="1:40" x14ac:dyDescent="0.3">
      <c r="A171" t="s">
        <v>64</v>
      </c>
      <c r="B171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24"/>
        <v>0</v>
      </c>
      <c r="P171">
        <f t="shared" si="25"/>
        <v>0</v>
      </c>
      <c r="Q171">
        <f t="shared" si="26"/>
        <v>0</v>
      </c>
      <c r="R171">
        <f t="shared" si="27"/>
        <v>0</v>
      </c>
      <c r="S171">
        <f t="shared" si="28"/>
        <v>0</v>
      </c>
      <c r="T171">
        <f t="shared" si="29"/>
        <v>0</v>
      </c>
      <c r="AA171">
        <v>593637.14</v>
      </c>
      <c r="AB171">
        <v>7576</v>
      </c>
      <c r="AC171">
        <v>15</v>
      </c>
      <c r="AD171">
        <v>32834.480000000003</v>
      </c>
      <c r="AE171">
        <v>84.1</v>
      </c>
      <c r="AF171">
        <v>9.9000000000000005E-2</v>
      </c>
      <c r="AG171">
        <v>5</v>
      </c>
      <c r="AH171">
        <v>0</v>
      </c>
      <c r="AI171">
        <f t="shared" si="30"/>
        <v>0</v>
      </c>
      <c r="AJ171">
        <f t="shared" si="31"/>
        <v>0</v>
      </c>
      <c r="AK171">
        <f t="shared" si="32"/>
        <v>0</v>
      </c>
      <c r="AL171">
        <f t="shared" si="33"/>
        <v>0</v>
      </c>
      <c r="AM171">
        <f t="shared" si="34"/>
        <v>0</v>
      </c>
      <c r="AN171">
        <f t="shared" si="35"/>
        <v>0</v>
      </c>
    </row>
    <row r="172" spans="1:40" x14ac:dyDescent="0.3">
      <c r="A172" t="s">
        <v>64</v>
      </c>
      <c r="B17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24"/>
        <v>0</v>
      </c>
      <c r="P172">
        <f t="shared" si="25"/>
        <v>0</v>
      </c>
      <c r="Q172">
        <f t="shared" si="26"/>
        <v>0</v>
      </c>
      <c r="R172">
        <f t="shared" si="27"/>
        <v>0</v>
      </c>
      <c r="S172">
        <f t="shared" si="28"/>
        <v>0</v>
      </c>
      <c r="T172">
        <f t="shared" si="29"/>
        <v>0</v>
      </c>
      <c r="AA172">
        <v>769702.76</v>
      </c>
      <c r="AB172">
        <v>8949</v>
      </c>
      <c r="AC172">
        <v>21</v>
      </c>
      <c r="AD172">
        <v>50825.08</v>
      </c>
      <c r="AE172">
        <v>84.7</v>
      </c>
      <c r="AF172">
        <v>0.157</v>
      </c>
      <c r="AG172">
        <v>4.9000000000000004</v>
      </c>
      <c r="AH172">
        <v>0</v>
      </c>
      <c r="AI172">
        <f t="shared" si="30"/>
        <v>0</v>
      </c>
      <c r="AJ172">
        <f t="shared" si="31"/>
        <v>0</v>
      </c>
      <c r="AK172">
        <f t="shared" si="32"/>
        <v>0</v>
      </c>
      <c r="AL172">
        <f t="shared" si="33"/>
        <v>0</v>
      </c>
      <c r="AM172">
        <f t="shared" si="34"/>
        <v>0</v>
      </c>
      <c r="AN172">
        <f t="shared" si="35"/>
        <v>0</v>
      </c>
    </row>
    <row r="173" spans="1:40" x14ac:dyDescent="0.3">
      <c r="A173" t="s">
        <v>64</v>
      </c>
      <c r="B17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24"/>
        <v>0</v>
      </c>
      <c r="P173">
        <f t="shared" si="25"/>
        <v>0</v>
      </c>
      <c r="Q173">
        <f t="shared" si="26"/>
        <v>0</v>
      </c>
      <c r="R173">
        <f t="shared" si="27"/>
        <v>0</v>
      </c>
      <c r="S173">
        <f t="shared" si="28"/>
        <v>0</v>
      </c>
      <c r="T173">
        <f t="shared" si="29"/>
        <v>0</v>
      </c>
      <c r="AA173">
        <v>679731.57</v>
      </c>
      <c r="AB173">
        <v>7671</v>
      </c>
      <c r="AC173">
        <v>18</v>
      </c>
      <c r="AD173">
        <v>36606.51</v>
      </c>
      <c r="AE173">
        <v>89.8</v>
      </c>
      <c r="AF173">
        <v>0.11799999999999999</v>
      </c>
      <c r="AG173">
        <v>4.4000000000000004</v>
      </c>
      <c r="AH173">
        <v>0</v>
      </c>
      <c r="AI173">
        <f t="shared" si="30"/>
        <v>0</v>
      </c>
      <c r="AJ173">
        <f t="shared" si="31"/>
        <v>0</v>
      </c>
      <c r="AK173">
        <f t="shared" si="32"/>
        <v>0</v>
      </c>
      <c r="AL173">
        <f t="shared" si="33"/>
        <v>0</v>
      </c>
      <c r="AM173">
        <f t="shared" si="34"/>
        <v>0</v>
      </c>
      <c r="AN173">
        <f t="shared" si="35"/>
        <v>0</v>
      </c>
    </row>
    <row r="174" spans="1:40" x14ac:dyDescent="0.3">
      <c r="A174" t="s">
        <v>65</v>
      </c>
      <c r="B174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24"/>
        <v>0</v>
      </c>
      <c r="P174">
        <f t="shared" si="25"/>
        <v>0</v>
      </c>
      <c r="Q174">
        <f t="shared" si="26"/>
        <v>0</v>
      </c>
      <c r="R174">
        <f t="shared" si="27"/>
        <v>0</v>
      </c>
      <c r="S174">
        <f t="shared" si="28"/>
        <v>0</v>
      </c>
      <c r="T174">
        <f t="shared" si="29"/>
        <v>0</v>
      </c>
      <c r="AA174">
        <v>780344.18</v>
      </c>
      <c r="AB174">
        <v>8741</v>
      </c>
      <c r="AC174">
        <v>20</v>
      </c>
      <c r="AD174">
        <v>65237.79</v>
      </c>
      <c r="AE174">
        <v>94.4</v>
      </c>
      <c r="AF174">
        <v>0.157</v>
      </c>
      <c r="AG174">
        <v>3.3</v>
      </c>
      <c r="AH174">
        <v>0</v>
      </c>
      <c r="AI174">
        <f t="shared" si="30"/>
        <v>0</v>
      </c>
      <c r="AJ174">
        <f t="shared" si="31"/>
        <v>0</v>
      </c>
      <c r="AK174">
        <f t="shared" si="32"/>
        <v>0</v>
      </c>
      <c r="AL174">
        <f t="shared" si="33"/>
        <v>0</v>
      </c>
      <c r="AM174">
        <f t="shared" si="34"/>
        <v>0</v>
      </c>
      <c r="AN174">
        <f t="shared" si="35"/>
        <v>0</v>
      </c>
    </row>
    <row r="175" spans="1:40" x14ac:dyDescent="0.3">
      <c r="A175" t="s">
        <v>65</v>
      </c>
      <c r="B175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24"/>
        <v>0</v>
      </c>
      <c r="P175">
        <f t="shared" si="25"/>
        <v>0</v>
      </c>
      <c r="Q175">
        <f t="shared" si="26"/>
        <v>0</v>
      </c>
      <c r="R175">
        <f t="shared" si="27"/>
        <v>0</v>
      </c>
      <c r="S175">
        <f t="shared" si="28"/>
        <v>0</v>
      </c>
      <c r="T175">
        <f t="shared" si="29"/>
        <v>0</v>
      </c>
      <c r="AA175">
        <v>721364.11</v>
      </c>
      <c r="AB175">
        <v>9480</v>
      </c>
      <c r="AC175">
        <v>22</v>
      </c>
      <c r="AD175">
        <v>43645.98</v>
      </c>
      <c r="AE175">
        <v>89</v>
      </c>
      <c r="AF175">
        <v>0.109</v>
      </c>
      <c r="AG175">
        <v>3.1</v>
      </c>
      <c r="AH175">
        <v>0</v>
      </c>
      <c r="AI175">
        <f t="shared" si="30"/>
        <v>0</v>
      </c>
      <c r="AJ175">
        <f t="shared" si="31"/>
        <v>0</v>
      </c>
      <c r="AK175">
        <f t="shared" si="32"/>
        <v>0</v>
      </c>
      <c r="AL175">
        <f t="shared" si="33"/>
        <v>0</v>
      </c>
      <c r="AM175">
        <f t="shared" si="34"/>
        <v>0</v>
      </c>
      <c r="AN175">
        <f t="shared" si="35"/>
        <v>0</v>
      </c>
    </row>
    <row r="176" spans="1:40" x14ac:dyDescent="0.3">
      <c r="A176" t="s">
        <v>65</v>
      </c>
      <c r="B176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24"/>
        <v>0</v>
      </c>
      <c r="P176">
        <f t="shared" si="25"/>
        <v>0</v>
      </c>
      <c r="Q176">
        <f t="shared" si="26"/>
        <v>0</v>
      </c>
      <c r="R176">
        <f t="shared" si="27"/>
        <v>0</v>
      </c>
      <c r="S176">
        <f t="shared" si="28"/>
        <v>0</v>
      </c>
      <c r="T176">
        <f t="shared" si="29"/>
        <v>0</v>
      </c>
      <c r="AA176">
        <v>758138.29</v>
      </c>
      <c r="AB176">
        <v>9826</v>
      </c>
      <c r="AC176">
        <v>20</v>
      </c>
      <c r="AD176">
        <v>68040.149999999994</v>
      </c>
      <c r="AE176">
        <v>83.9</v>
      </c>
      <c r="AF176">
        <v>0.125</v>
      </c>
      <c r="AG176">
        <v>3.6</v>
      </c>
      <c r="AH176">
        <v>0</v>
      </c>
      <c r="AI176">
        <f t="shared" si="30"/>
        <v>0</v>
      </c>
      <c r="AJ176">
        <f t="shared" si="31"/>
        <v>0</v>
      </c>
      <c r="AK176">
        <f t="shared" si="32"/>
        <v>0</v>
      </c>
      <c r="AL176">
        <f t="shared" si="33"/>
        <v>0</v>
      </c>
      <c r="AM176">
        <f t="shared" si="34"/>
        <v>0</v>
      </c>
      <c r="AN176">
        <f t="shared" si="35"/>
        <v>0</v>
      </c>
    </row>
    <row r="177" spans="1:40" x14ac:dyDescent="0.3">
      <c r="A177" t="s">
        <v>65</v>
      </c>
      <c r="B177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24"/>
        <v>0</v>
      </c>
      <c r="P177">
        <f t="shared" si="25"/>
        <v>0</v>
      </c>
      <c r="Q177">
        <f t="shared" si="26"/>
        <v>0</v>
      </c>
      <c r="R177">
        <f t="shared" si="27"/>
        <v>0</v>
      </c>
      <c r="S177">
        <f t="shared" si="28"/>
        <v>0</v>
      </c>
      <c r="T177">
        <f t="shared" si="29"/>
        <v>0</v>
      </c>
      <c r="AA177">
        <v>804264</v>
      </c>
      <c r="AB177">
        <v>10402</v>
      </c>
      <c r="AC177">
        <v>23</v>
      </c>
      <c r="AD177">
        <v>63043.94</v>
      </c>
      <c r="AE177">
        <v>93.9</v>
      </c>
      <c r="AF177">
        <v>0.159</v>
      </c>
      <c r="AG177">
        <v>3.1</v>
      </c>
      <c r="AH177">
        <v>0</v>
      </c>
      <c r="AI177">
        <f t="shared" si="30"/>
        <v>0</v>
      </c>
      <c r="AJ177">
        <f t="shared" si="31"/>
        <v>0</v>
      </c>
      <c r="AK177">
        <f t="shared" si="32"/>
        <v>0</v>
      </c>
      <c r="AL177">
        <f t="shared" si="33"/>
        <v>0</v>
      </c>
      <c r="AM177">
        <f t="shared" si="34"/>
        <v>0</v>
      </c>
      <c r="AN177">
        <f t="shared" si="35"/>
        <v>0</v>
      </c>
    </row>
    <row r="178" spans="1:40" x14ac:dyDescent="0.3">
      <c r="A178" t="s">
        <v>66</v>
      </c>
      <c r="B178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24"/>
        <v>0</v>
      </c>
      <c r="P178">
        <f t="shared" si="25"/>
        <v>0</v>
      </c>
      <c r="Q178">
        <f t="shared" si="26"/>
        <v>0</v>
      </c>
      <c r="R178">
        <f t="shared" si="27"/>
        <v>0</v>
      </c>
      <c r="S178">
        <f t="shared" si="28"/>
        <v>0</v>
      </c>
      <c r="T178">
        <f t="shared" si="29"/>
        <v>0</v>
      </c>
      <c r="AA178">
        <v>887537.75</v>
      </c>
      <c r="AB178">
        <v>12361</v>
      </c>
      <c r="AC178">
        <v>24</v>
      </c>
      <c r="AD178">
        <v>67494.09</v>
      </c>
      <c r="AE178">
        <v>76.599999999999994</v>
      </c>
      <c r="AF178">
        <v>4.5999999999999999E-2</v>
      </c>
      <c r="AG178">
        <v>3.7</v>
      </c>
      <c r="AH178">
        <v>1</v>
      </c>
      <c r="AI178">
        <f t="shared" si="30"/>
        <v>0</v>
      </c>
      <c r="AJ178">
        <f t="shared" si="31"/>
        <v>0</v>
      </c>
      <c r="AK178">
        <f t="shared" si="32"/>
        <v>0</v>
      </c>
      <c r="AL178">
        <f t="shared" si="33"/>
        <v>0</v>
      </c>
      <c r="AM178">
        <f t="shared" si="34"/>
        <v>0</v>
      </c>
      <c r="AN178">
        <f t="shared" si="35"/>
        <v>0</v>
      </c>
    </row>
    <row r="179" spans="1:40" x14ac:dyDescent="0.3">
      <c r="A179" t="s">
        <v>66</v>
      </c>
      <c r="B179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24"/>
        <v>0</v>
      </c>
      <c r="P179">
        <f t="shared" si="25"/>
        <v>0</v>
      </c>
      <c r="Q179">
        <f t="shared" si="26"/>
        <v>0</v>
      </c>
      <c r="R179">
        <f t="shared" si="27"/>
        <v>0</v>
      </c>
      <c r="S179">
        <f t="shared" si="28"/>
        <v>0</v>
      </c>
      <c r="T179">
        <f t="shared" si="29"/>
        <v>0</v>
      </c>
      <c r="AA179">
        <v>783582</v>
      </c>
      <c r="AB179">
        <v>7925</v>
      </c>
      <c r="AC179">
        <v>21</v>
      </c>
      <c r="AD179">
        <v>29389.32</v>
      </c>
      <c r="AE179">
        <v>90.9</v>
      </c>
      <c r="AF179">
        <v>0.17699999999999999</v>
      </c>
      <c r="AG179">
        <v>4</v>
      </c>
      <c r="AH179">
        <v>0</v>
      </c>
      <c r="AI179">
        <f t="shared" si="30"/>
        <v>0</v>
      </c>
      <c r="AJ179">
        <f t="shared" si="31"/>
        <v>0</v>
      </c>
      <c r="AK179">
        <f t="shared" si="32"/>
        <v>0</v>
      </c>
      <c r="AL179">
        <f t="shared" si="33"/>
        <v>0</v>
      </c>
      <c r="AM179">
        <f t="shared" si="34"/>
        <v>0</v>
      </c>
      <c r="AN179">
        <f t="shared" si="35"/>
        <v>0</v>
      </c>
    </row>
    <row r="180" spans="1:40" x14ac:dyDescent="0.3">
      <c r="A180" t="s">
        <v>66</v>
      </c>
      <c r="B180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24"/>
        <v>0</v>
      </c>
      <c r="P180">
        <f t="shared" si="25"/>
        <v>0</v>
      </c>
      <c r="Q180">
        <f t="shared" si="26"/>
        <v>0</v>
      </c>
      <c r="R180">
        <f t="shared" si="27"/>
        <v>0</v>
      </c>
      <c r="S180">
        <f t="shared" si="28"/>
        <v>0</v>
      </c>
      <c r="T180">
        <f t="shared" si="29"/>
        <v>0</v>
      </c>
      <c r="AA180">
        <v>781955.52</v>
      </c>
      <c r="AB180">
        <v>8870</v>
      </c>
      <c r="AC180">
        <v>21</v>
      </c>
      <c r="AD180">
        <v>40535.089999999997</v>
      </c>
      <c r="AE180">
        <v>86.6</v>
      </c>
      <c r="AF180">
        <v>4.1000000000000002E-2</v>
      </c>
      <c r="AG180">
        <v>4.0999999999999996</v>
      </c>
      <c r="AH180">
        <v>0</v>
      </c>
      <c r="AI180">
        <f t="shared" si="30"/>
        <v>0</v>
      </c>
      <c r="AJ180">
        <f t="shared" si="31"/>
        <v>0</v>
      </c>
      <c r="AK180">
        <f t="shared" si="32"/>
        <v>0</v>
      </c>
      <c r="AL180">
        <f t="shared" si="33"/>
        <v>0</v>
      </c>
      <c r="AM180">
        <f t="shared" si="34"/>
        <v>0</v>
      </c>
      <c r="AN180">
        <f t="shared" si="35"/>
        <v>0</v>
      </c>
    </row>
    <row r="181" spans="1:40" x14ac:dyDescent="0.3">
      <c r="A181" t="s">
        <v>66</v>
      </c>
      <c r="B181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24"/>
        <v>0</v>
      </c>
      <c r="P181">
        <f t="shared" si="25"/>
        <v>0</v>
      </c>
      <c r="Q181">
        <f t="shared" si="26"/>
        <v>0</v>
      </c>
      <c r="R181">
        <f t="shared" si="27"/>
        <v>0</v>
      </c>
      <c r="S181">
        <f t="shared" si="28"/>
        <v>0</v>
      </c>
      <c r="T181">
        <f t="shared" si="29"/>
        <v>0</v>
      </c>
      <c r="AA181">
        <v>898031.04</v>
      </c>
      <c r="AB181">
        <v>9999</v>
      </c>
      <c r="AC181">
        <v>20</v>
      </c>
      <c r="AD181">
        <v>74881.56</v>
      </c>
      <c r="AE181">
        <v>89.6</v>
      </c>
      <c r="AF181">
        <v>1.2999999999999999E-2</v>
      </c>
      <c r="AG181">
        <v>4.0999999999999996</v>
      </c>
      <c r="AH181">
        <v>0</v>
      </c>
      <c r="AI181">
        <f t="shared" si="30"/>
        <v>0</v>
      </c>
      <c r="AJ181">
        <f t="shared" si="31"/>
        <v>0</v>
      </c>
      <c r="AK181">
        <f t="shared" si="32"/>
        <v>0</v>
      </c>
      <c r="AL181">
        <f t="shared" si="33"/>
        <v>0</v>
      </c>
      <c r="AM181">
        <f t="shared" si="34"/>
        <v>0</v>
      </c>
      <c r="AN181">
        <f t="shared" si="35"/>
        <v>0</v>
      </c>
    </row>
    <row r="182" spans="1:40" x14ac:dyDescent="0.3">
      <c r="A182" t="s">
        <v>67</v>
      </c>
      <c r="B18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24"/>
        <v>0</v>
      </c>
      <c r="P182">
        <f t="shared" si="25"/>
        <v>0</v>
      </c>
      <c r="Q182">
        <f t="shared" si="26"/>
        <v>0</v>
      </c>
      <c r="R182">
        <f t="shared" si="27"/>
        <v>0</v>
      </c>
      <c r="S182">
        <f t="shared" si="28"/>
        <v>0</v>
      </c>
      <c r="T182">
        <f t="shared" si="29"/>
        <v>0</v>
      </c>
      <c r="AA182">
        <v>855341.28</v>
      </c>
      <c r="AB182">
        <v>11154</v>
      </c>
      <c r="AC182">
        <v>24</v>
      </c>
      <c r="AD182">
        <v>68491.11</v>
      </c>
      <c r="AE182">
        <v>89.4</v>
      </c>
      <c r="AF182">
        <v>1E-3</v>
      </c>
      <c r="AG182">
        <v>3.9</v>
      </c>
      <c r="AH182">
        <v>1</v>
      </c>
      <c r="AI182">
        <f t="shared" si="30"/>
        <v>0</v>
      </c>
      <c r="AJ182">
        <f t="shared" si="31"/>
        <v>0</v>
      </c>
      <c r="AK182">
        <f t="shared" si="32"/>
        <v>0</v>
      </c>
      <c r="AL182">
        <f t="shared" si="33"/>
        <v>0</v>
      </c>
      <c r="AM182">
        <f t="shared" si="34"/>
        <v>0</v>
      </c>
      <c r="AN182">
        <f t="shared" si="35"/>
        <v>0</v>
      </c>
    </row>
    <row r="183" spans="1:40" x14ac:dyDescent="0.3">
      <c r="A183" t="s">
        <v>67</v>
      </c>
      <c r="B18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24"/>
        <v>0</v>
      </c>
      <c r="P183">
        <f t="shared" si="25"/>
        <v>0</v>
      </c>
      <c r="Q183">
        <f t="shared" si="26"/>
        <v>0</v>
      </c>
      <c r="R183">
        <f t="shared" si="27"/>
        <v>0</v>
      </c>
      <c r="S183">
        <f t="shared" si="28"/>
        <v>0</v>
      </c>
      <c r="T183">
        <f t="shared" si="29"/>
        <v>0</v>
      </c>
      <c r="AA183">
        <v>751393.88</v>
      </c>
      <c r="AB183">
        <v>9287</v>
      </c>
      <c r="AC183">
        <v>22</v>
      </c>
      <c r="AD183">
        <v>45209.25</v>
      </c>
      <c r="AE183">
        <v>86.4</v>
      </c>
      <c r="AF183">
        <v>0.14099999999999999</v>
      </c>
      <c r="AG183">
        <v>3.6</v>
      </c>
      <c r="AH183">
        <v>0</v>
      </c>
      <c r="AI183">
        <f t="shared" si="30"/>
        <v>0</v>
      </c>
      <c r="AJ183">
        <f t="shared" si="31"/>
        <v>0</v>
      </c>
      <c r="AK183">
        <f t="shared" si="32"/>
        <v>0</v>
      </c>
      <c r="AL183">
        <f t="shared" si="33"/>
        <v>0</v>
      </c>
      <c r="AM183">
        <f t="shared" si="34"/>
        <v>0</v>
      </c>
      <c r="AN183">
        <f t="shared" si="35"/>
        <v>0</v>
      </c>
    </row>
    <row r="184" spans="1:40" x14ac:dyDescent="0.3">
      <c r="A184" t="s">
        <v>67</v>
      </c>
      <c r="B184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24"/>
        <v>0</v>
      </c>
      <c r="P184">
        <f t="shared" si="25"/>
        <v>0</v>
      </c>
      <c r="Q184">
        <f t="shared" si="26"/>
        <v>0</v>
      </c>
      <c r="R184">
        <f t="shared" si="27"/>
        <v>0</v>
      </c>
      <c r="S184">
        <f t="shared" si="28"/>
        <v>0</v>
      </c>
      <c r="T184">
        <f t="shared" si="29"/>
        <v>0</v>
      </c>
      <c r="AA184">
        <v>761077.08</v>
      </c>
      <c r="AB184">
        <v>9812</v>
      </c>
      <c r="AC184">
        <v>24</v>
      </c>
      <c r="AD184">
        <v>63010.23</v>
      </c>
      <c r="AE184">
        <v>76.8</v>
      </c>
      <c r="AF184">
        <v>0.113</v>
      </c>
      <c r="AG184">
        <v>3.8</v>
      </c>
      <c r="AH184">
        <v>1</v>
      </c>
      <c r="AI184">
        <f t="shared" si="30"/>
        <v>0</v>
      </c>
      <c r="AJ184">
        <f t="shared" si="31"/>
        <v>0</v>
      </c>
      <c r="AK184">
        <f t="shared" si="32"/>
        <v>0</v>
      </c>
      <c r="AL184">
        <f t="shared" si="33"/>
        <v>0</v>
      </c>
      <c r="AM184">
        <f t="shared" si="34"/>
        <v>0</v>
      </c>
      <c r="AN184">
        <f t="shared" si="35"/>
        <v>0</v>
      </c>
    </row>
    <row r="185" spans="1:40" x14ac:dyDescent="0.3">
      <c r="A185" t="s">
        <v>67</v>
      </c>
      <c r="B185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24"/>
        <v>0</v>
      </c>
      <c r="P185">
        <f t="shared" si="25"/>
        <v>0</v>
      </c>
      <c r="Q185">
        <f t="shared" si="26"/>
        <v>0</v>
      </c>
      <c r="R185">
        <f t="shared" si="27"/>
        <v>0</v>
      </c>
      <c r="S185">
        <f t="shared" si="28"/>
        <v>0</v>
      </c>
      <c r="T185">
        <f t="shared" si="29"/>
        <v>0</v>
      </c>
      <c r="AA185">
        <v>819660.59</v>
      </c>
      <c r="AB185">
        <v>10741</v>
      </c>
      <c r="AC185">
        <v>25</v>
      </c>
      <c r="AD185">
        <v>57948.88</v>
      </c>
      <c r="AE185">
        <v>90.1</v>
      </c>
      <c r="AF185">
        <v>7.0000000000000007E-2</v>
      </c>
      <c r="AG185">
        <v>3.1</v>
      </c>
      <c r="AH185">
        <v>0</v>
      </c>
      <c r="AI185">
        <f t="shared" si="30"/>
        <v>0</v>
      </c>
      <c r="AJ185">
        <f t="shared" si="31"/>
        <v>0</v>
      </c>
      <c r="AK185">
        <f t="shared" si="32"/>
        <v>0</v>
      </c>
      <c r="AL185">
        <f t="shared" si="33"/>
        <v>0</v>
      </c>
      <c r="AM185">
        <f t="shared" si="34"/>
        <v>0</v>
      </c>
      <c r="AN185">
        <f t="shared" si="35"/>
        <v>0</v>
      </c>
    </row>
    <row r="186" spans="1:40" x14ac:dyDescent="0.3">
      <c r="A186" t="s">
        <v>68</v>
      </c>
      <c r="B186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24"/>
        <v>0</v>
      </c>
      <c r="P186">
        <f t="shared" si="25"/>
        <v>0</v>
      </c>
      <c r="Q186">
        <f t="shared" si="26"/>
        <v>0</v>
      </c>
      <c r="R186">
        <f t="shared" si="27"/>
        <v>0</v>
      </c>
      <c r="S186">
        <f t="shared" si="28"/>
        <v>0</v>
      </c>
      <c r="T186">
        <f t="shared" si="29"/>
        <v>0</v>
      </c>
      <c r="AA186">
        <v>681855.56</v>
      </c>
      <c r="AB186">
        <v>6084</v>
      </c>
      <c r="AC186">
        <v>13</v>
      </c>
      <c r="AD186">
        <v>71941.62</v>
      </c>
      <c r="AE186">
        <v>93.7</v>
      </c>
      <c r="AF186">
        <v>7.1999999999999995E-2</v>
      </c>
      <c r="AG186">
        <v>4.4000000000000004</v>
      </c>
      <c r="AH186">
        <v>0</v>
      </c>
      <c r="AI186">
        <f t="shared" si="30"/>
        <v>0</v>
      </c>
      <c r="AJ186">
        <f t="shared" si="31"/>
        <v>0</v>
      </c>
      <c r="AK186">
        <f t="shared" si="32"/>
        <v>0</v>
      </c>
      <c r="AL186">
        <f t="shared" si="33"/>
        <v>0</v>
      </c>
      <c r="AM186">
        <f t="shared" si="34"/>
        <v>0</v>
      </c>
      <c r="AN186">
        <f t="shared" si="35"/>
        <v>0</v>
      </c>
    </row>
    <row r="187" spans="1:40" x14ac:dyDescent="0.3">
      <c r="A187" t="s">
        <v>68</v>
      </c>
      <c r="B187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24"/>
        <v>0</v>
      </c>
      <c r="P187">
        <f t="shared" si="25"/>
        <v>0</v>
      </c>
      <c r="Q187">
        <f t="shared" si="26"/>
        <v>0</v>
      </c>
      <c r="R187">
        <f t="shared" si="27"/>
        <v>0</v>
      </c>
      <c r="S187">
        <f t="shared" si="28"/>
        <v>0</v>
      </c>
      <c r="T187">
        <f t="shared" si="29"/>
        <v>0</v>
      </c>
      <c r="AA187">
        <v>678311.17</v>
      </c>
      <c r="AB187">
        <v>5252</v>
      </c>
      <c r="AC187">
        <v>15</v>
      </c>
      <c r="AD187">
        <v>57147.88</v>
      </c>
      <c r="AE187">
        <v>95.5</v>
      </c>
      <c r="AF187">
        <v>0.161</v>
      </c>
      <c r="AG187">
        <v>4.4000000000000004</v>
      </c>
      <c r="AH187">
        <v>0</v>
      </c>
      <c r="AI187">
        <f t="shared" si="30"/>
        <v>0</v>
      </c>
      <c r="AJ187">
        <f t="shared" si="31"/>
        <v>0</v>
      </c>
      <c r="AK187">
        <f t="shared" si="32"/>
        <v>0</v>
      </c>
      <c r="AL187">
        <f t="shared" si="33"/>
        <v>0</v>
      </c>
      <c r="AM187">
        <f t="shared" si="34"/>
        <v>0</v>
      </c>
      <c r="AN187">
        <f t="shared" si="35"/>
        <v>0</v>
      </c>
    </row>
    <row r="188" spans="1:40" x14ac:dyDescent="0.3">
      <c r="A188" t="s">
        <v>68</v>
      </c>
      <c r="B188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24"/>
        <v>0</v>
      </c>
      <c r="P188">
        <f t="shared" si="25"/>
        <v>0</v>
      </c>
      <c r="Q188">
        <f t="shared" si="26"/>
        <v>0</v>
      </c>
      <c r="R188">
        <f t="shared" si="27"/>
        <v>0</v>
      </c>
      <c r="S188">
        <f t="shared" si="28"/>
        <v>0</v>
      </c>
      <c r="T188">
        <f t="shared" si="29"/>
        <v>0</v>
      </c>
      <c r="AA188">
        <v>765906.95</v>
      </c>
      <c r="AB188">
        <v>6516</v>
      </c>
      <c r="AC188">
        <v>14</v>
      </c>
      <c r="AD188">
        <v>48031.74</v>
      </c>
      <c r="AE188">
        <v>99</v>
      </c>
      <c r="AF188">
        <v>6.7000000000000004E-2</v>
      </c>
      <c r="AG188">
        <v>4.3</v>
      </c>
      <c r="AH188">
        <v>1</v>
      </c>
      <c r="AI188">
        <f t="shared" si="30"/>
        <v>0</v>
      </c>
      <c r="AJ188">
        <f t="shared" si="31"/>
        <v>0</v>
      </c>
      <c r="AK188">
        <f t="shared" si="32"/>
        <v>0</v>
      </c>
      <c r="AL188">
        <f t="shared" si="33"/>
        <v>0</v>
      </c>
      <c r="AM188">
        <f t="shared" si="34"/>
        <v>0</v>
      </c>
      <c r="AN188">
        <f t="shared" si="35"/>
        <v>0</v>
      </c>
    </row>
    <row r="189" spans="1:40" x14ac:dyDescent="0.3">
      <c r="A189" t="s">
        <v>68</v>
      </c>
      <c r="B189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24"/>
        <v>0</v>
      </c>
      <c r="P189">
        <f t="shared" si="25"/>
        <v>0</v>
      </c>
      <c r="Q189">
        <f t="shared" si="26"/>
        <v>0</v>
      </c>
      <c r="R189">
        <f t="shared" si="27"/>
        <v>0</v>
      </c>
      <c r="S189">
        <f t="shared" si="28"/>
        <v>0</v>
      </c>
      <c r="T189">
        <f t="shared" si="29"/>
        <v>0</v>
      </c>
      <c r="AA189">
        <v>712546.38</v>
      </c>
      <c r="AB189">
        <v>7932</v>
      </c>
      <c r="AC189">
        <v>20</v>
      </c>
      <c r="AD189">
        <v>72784.800000000003</v>
      </c>
      <c r="AE189">
        <v>74.900000000000006</v>
      </c>
      <c r="AF189">
        <v>9.4E-2</v>
      </c>
      <c r="AG189">
        <v>4.2</v>
      </c>
      <c r="AH189">
        <v>0</v>
      </c>
      <c r="AI189">
        <f t="shared" si="30"/>
        <v>0</v>
      </c>
      <c r="AJ189">
        <f t="shared" si="31"/>
        <v>0</v>
      </c>
      <c r="AK189">
        <f t="shared" si="32"/>
        <v>0</v>
      </c>
      <c r="AL189">
        <f t="shared" si="33"/>
        <v>0</v>
      </c>
      <c r="AM189">
        <f t="shared" si="34"/>
        <v>0</v>
      </c>
      <c r="AN189">
        <f t="shared" si="35"/>
        <v>0</v>
      </c>
    </row>
    <row r="190" spans="1:40" x14ac:dyDescent="0.3">
      <c r="A190" t="s">
        <v>69</v>
      </c>
      <c r="B190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24"/>
        <v>0</v>
      </c>
      <c r="P190">
        <f t="shared" si="25"/>
        <v>0</v>
      </c>
      <c r="Q190">
        <f t="shared" si="26"/>
        <v>0</v>
      </c>
      <c r="R190">
        <f t="shared" si="27"/>
        <v>0</v>
      </c>
      <c r="S190">
        <f t="shared" si="28"/>
        <v>0</v>
      </c>
      <c r="T190">
        <f t="shared" si="29"/>
        <v>0</v>
      </c>
      <c r="AA190">
        <v>625993.82999999996</v>
      </c>
      <c r="AB190">
        <v>3506</v>
      </c>
      <c r="AC190">
        <v>11</v>
      </c>
      <c r="AD190">
        <v>71641.899999999994</v>
      </c>
      <c r="AE190">
        <v>86.4</v>
      </c>
      <c r="AF190">
        <v>0</v>
      </c>
      <c r="AG190">
        <v>4.0999999999999996</v>
      </c>
      <c r="AH190">
        <v>0</v>
      </c>
      <c r="AI190">
        <f t="shared" si="30"/>
        <v>0</v>
      </c>
      <c r="AJ190">
        <f t="shared" si="31"/>
        <v>0</v>
      </c>
      <c r="AK190">
        <f t="shared" si="32"/>
        <v>0</v>
      </c>
      <c r="AL190">
        <f t="shared" si="33"/>
        <v>0</v>
      </c>
      <c r="AM190">
        <f t="shared" si="34"/>
        <v>0</v>
      </c>
      <c r="AN190">
        <f t="shared" si="35"/>
        <v>0</v>
      </c>
    </row>
    <row r="191" spans="1:40" x14ac:dyDescent="0.3">
      <c r="A191" t="s">
        <v>69</v>
      </c>
      <c r="B191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24"/>
        <v>0</v>
      </c>
      <c r="P191">
        <f t="shared" si="25"/>
        <v>0</v>
      </c>
      <c r="Q191">
        <f t="shared" si="26"/>
        <v>0</v>
      </c>
      <c r="R191">
        <f t="shared" si="27"/>
        <v>0</v>
      </c>
      <c r="S191">
        <f t="shared" si="28"/>
        <v>0</v>
      </c>
      <c r="T191">
        <f t="shared" si="29"/>
        <v>0</v>
      </c>
      <c r="AA191">
        <v>550962.93000000005</v>
      </c>
      <c r="AB191">
        <v>2312</v>
      </c>
      <c r="AC191">
        <v>10</v>
      </c>
      <c r="AD191">
        <v>55788.61</v>
      </c>
      <c r="AE191">
        <v>91.3</v>
      </c>
      <c r="AF191">
        <v>5.8000000000000003E-2</v>
      </c>
      <c r="AG191">
        <v>3.8</v>
      </c>
      <c r="AH191">
        <v>0</v>
      </c>
      <c r="AI191">
        <f t="shared" si="30"/>
        <v>0</v>
      </c>
      <c r="AJ191">
        <f t="shared" si="31"/>
        <v>0</v>
      </c>
      <c r="AK191">
        <f t="shared" si="32"/>
        <v>0</v>
      </c>
      <c r="AL191">
        <f t="shared" si="33"/>
        <v>0</v>
      </c>
      <c r="AM191">
        <f t="shared" si="34"/>
        <v>0</v>
      </c>
      <c r="AN191">
        <f t="shared" si="35"/>
        <v>0</v>
      </c>
    </row>
    <row r="192" spans="1:40" x14ac:dyDescent="0.3">
      <c r="A192" t="s">
        <v>69</v>
      </c>
      <c r="B19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24"/>
        <v>0</v>
      </c>
      <c r="P192">
        <f t="shared" si="25"/>
        <v>0</v>
      </c>
      <c r="Q192">
        <f t="shared" si="26"/>
        <v>0</v>
      </c>
      <c r="R192">
        <f t="shared" si="27"/>
        <v>0</v>
      </c>
      <c r="S192">
        <f t="shared" si="28"/>
        <v>0</v>
      </c>
      <c r="T192">
        <f t="shared" si="29"/>
        <v>0</v>
      </c>
      <c r="AA192">
        <v>443275.59</v>
      </c>
      <c r="AB192">
        <v>1268</v>
      </c>
      <c r="AC192">
        <v>9</v>
      </c>
      <c r="AD192">
        <v>37705.879999999997</v>
      </c>
      <c r="AE192">
        <v>84.1</v>
      </c>
      <c r="AF192">
        <v>0.25900000000000001</v>
      </c>
      <c r="AG192">
        <v>3.8</v>
      </c>
      <c r="AH192">
        <v>0</v>
      </c>
      <c r="AI192">
        <f t="shared" si="30"/>
        <v>0</v>
      </c>
      <c r="AJ192">
        <f t="shared" si="31"/>
        <v>0</v>
      </c>
      <c r="AK192">
        <f t="shared" si="32"/>
        <v>0</v>
      </c>
      <c r="AL192">
        <f t="shared" si="33"/>
        <v>0</v>
      </c>
      <c r="AM192">
        <f t="shared" si="34"/>
        <v>0</v>
      </c>
      <c r="AN192">
        <f t="shared" si="35"/>
        <v>0</v>
      </c>
    </row>
    <row r="193" spans="1:40" x14ac:dyDescent="0.3">
      <c r="A193" t="s">
        <v>69</v>
      </c>
      <c r="B19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24"/>
        <v>0</v>
      </c>
      <c r="P193">
        <f t="shared" si="25"/>
        <v>0</v>
      </c>
      <c r="Q193">
        <f t="shared" si="26"/>
        <v>0</v>
      </c>
      <c r="R193">
        <f t="shared" si="27"/>
        <v>0</v>
      </c>
      <c r="S193">
        <f t="shared" si="28"/>
        <v>0</v>
      </c>
      <c r="T193">
        <f t="shared" si="29"/>
        <v>0</v>
      </c>
      <c r="AA193">
        <v>554012.06999999995</v>
      </c>
      <c r="AB193">
        <v>4423</v>
      </c>
      <c r="AC193">
        <v>13</v>
      </c>
      <c r="AD193">
        <v>54966.18</v>
      </c>
      <c r="AE193">
        <v>88.7</v>
      </c>
      <c r="AF193">
        <v>0.186</v>
      </c>
      <c r="AG193">
        <v>4.4000000000000004</v>
      </c>
      <c r="AH193">
        <v>0</v>
      </c>
      <c r="AI193">
        <f t="shared" si="30"/>
        <v>0</v>
      </c>
      <c r="AJ193">
        <f t="shared" si="31"/>
        <v>0</v>
      </c>
      <c r="AK193">
        <f t="shared" si="32"/>
        <v>0</v>
      </c>
      <c r="AL193">
        <f t="shared" si="33"/>
        <v>0</v>
      </c>
      <c r="AM193">
        <f t="shared" si="34"/>
        <v>0</v>
      </c>
      <c r="AN193">
        <f t="shared" si="35"/>
        <v>0</v>
      </c>
    </row>
    <row r="194" spans="1:40" x14ac:dyDescent="0.3">
      <c r="A194" t="s">
        <v>70</v>
      </c>
      <c r="B194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24"/>
        <v>0</v>
      </c>
      <c r="P194">
        <f t="shared" si="25"/>
        <v>0</v>
      </c>
      <c r="Q194">
        <f t="shared" si="26"/>
        <v>0</v>
      </c>
      <c r="R194">
        <f t="shared" si="27"/>
        <v>0</v>
      </c>
      <c r="S194">
        <f t="shared" si="28"/>
        <v>0</v>
      </c>
      <c r="T194">
        <f t="shared" si="29"/>
        <v>0</v>
      </c>
      <c r="AA194">
        <v>643428.85</v>
      </c>
      <c r="AB194">
        <v>6177</v>
      </c>
      <c r="AC194">
        <v>14</v>
      </c>
      <c r="AD194">
        <v>81796.740000000005</v>
      </c>
      <c r="AE194">
        <v>87.9</v>
      </c>
      <c r="AF194">
        <v>0.16400000000000001</v>
      </c>
      <c r="AG194">
        <v>3.2</v>
      </c>
      <c r="AH194">
        <v>0</v>
      </c>
      <c r="AI194">
        <f t="shared" si="30"/>
        <v>0</v>
      </c>
      <c r="AJ194">
        <f t="shared" si="31"/>
        <v>0</v>
      </c>
      <c r="AK194">
        <f t="shared" si="32"/>
        <v>0</v>
      </c>
      <c r="AL194">
        <f t="shared" si="33"/>
        <v>0</v>
      </c>
      <c r="AM194">
        <f t="shared" si="34"/>
        <v>0</v>
      </c>
      <c r="AN194">
        <f t="shared" si="35"/>
        <v>0</v>
      </c>
    </row>
    <row r="195" spans="1:40" x14ac:dyDescent="0.3">
      <c r="A195" t="s">
        <v>70</v>
      </c>
      <c r="B195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36">IF(M195="North",1,0)</f>
        <v>0</v>
      </c>
      <c r="P195">
        <f t="shared" ref="P195:P258" si="37">IF(M195="South",1,0)</f>
        <v>0</v>
      </c>
      <c r="Q195">
        <f t="shared" ref="Q195:Q258" si="38">IF(M195="West",1,0)</f>
        <v>0</v>
      </c>
      <c r="R195">
        <f t="shared" ref="R195:R258" si="39">IF(N195="High Street",1,0)</f>
        <v>0</v>
      </c>
      <c r="S195">
        <f t="shared" ref="S195:S258" si="40">IF(N195="Airport",1,0)</f>
        <v>0</v>
      </c>
      <c r="T195">
        <f t="shared" ref="T195:T258" si="41">IF(N195="Mall",1,0)</f>
        <v>0</v>
      </c>
      <c r="AA195">
        <v>611924.27</v>
      </c>
      <c r="AB195">
        <v>5150</v>
      </c>
      <c r="AC195">
        <v>12</v>
      </c>
      <c r="AD195">
        <v>51133.43</v>
      </c>
      <c r="AE195">
        <v>88.5</v>
      </c>
      <c r="AF195">
        <v>0.15</v>
      </c>
      <c r="AG195">
        <v>3.2</v>
      </c>
      <c r="AH195">
        <v>0</v>
      </c>
      <c r="AI195">
        <f t="shared" ref="AI195:AI258" si="42">IF(AG195="North",1,0)</f>
        <v>0</v>
      </c>
      <c r="AJ195">
        <f t="shared" ref="AJ195:AJ258" si="43">IF(AG195="South",1,0)</f>
        <v>0</v>
      </c>
      <c r="AK195">
        <f t="shared" ref="AK195:AK258" si="44">IF(AG195="West",1,0)</f>
        <v>0</v>
      </c>
      <c r="AL195">
        <f t="shared" ref="AL195:AL258" si="45">IF(AH195="High Street",1,0)</f>
        <v>0</v>
      </c>
      <c r="AM195">
        <f t="shared" ref="AM195:AM258" si="46">IF(AH195="Airport",1,0)</f>
        <v>0</v>
      </c>
      <c r="AN195">
        <f t="shared" ref="AN195:AN258" si="47">IF(AH195="Mall",1,0)</f>
        <v>0</v>
      </c>
    </row>
    <row r="196" spans="1:40" x14ac:dyDescent="0.3">
      <c r="A196" t="s">
        <v>70</v>
      </c>
      <c r="B196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36"/>
        <v>0</v>
      </c>
      <c r="P196">
        <f t="shared" si="37"/>
        <v>0</v>
      </c>
      <c r="Q196">
        <f t="shared" si="38"/>
        <v>0</v>
      </c>
      <c r="R196">
        <f t="shared" si="39"/>
        <v>0</v>
      </c>
      <c r="S196">
        <f t="shared" si="40"/>
        <v>0</v>
      </c>
      <c r="T196">
        <f t="shared" si="41"/>
        <v>0</v>
      </c>
      <c r="AA196">
        <v>559422.02</v>
      </c>
      <c r="AB196">
        <v>3783</v>
      </c>
      <c r="AC196">
        <v>14</v>
      </c>
      <c r="AD196">
        <v>40220.18</v>
      </c>
      <c r="AE196">
        <v>86.6</v>
      </c>
      <c r="AF196">
        <v>8.8999999999999996E-2</v>
      </c>
      <c r="AG196">
        <v>3.7</v>
      </c>
      <c r="AH196">
        <v>0</v>
      </c>
      <c r="AI196">
        <f t="shared" si="42"/>
        <v>0</v>
      </c>
      <c r="AJ196">
        <f t="shared" si="43"/>
        <v>0</v>
      </c>
      <c r="AK196">
        <f t="shared" si="44"/>
        <v>0</v>
      </c>
      <c r="AL196">
        <f t="shared" si="45"/>
        <v>0</v>
      </c>
      <c r="AM196">
        <f t="shared" si="46"/>
        <v>0</v>
      </c>
      <c r="AN196">
        <f t="shared" si="47"/>
        <v>0</v>
      </c>
    </row>
    <row r="197" spans="1:40" x14ac:dyDescent="0.3">
      <c r="A197" t="s">
        <v>70</v>
      </c>
      <c r="B197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</v>
      </c>
      <c r="M197">
        <v>449465.06</v>
      </c>
      <c r="N197">
        <v>65694.78</v>
      </c>
      <c r="O197">
        <f t="shared" si="36"/>
        <v>0</v>
      </c>
      <c r="P197">
        <f t="shared" si="37"/>
        <v>0</v>
      </c>
      <c r="Q197">
        <f t="shared" si="38"/>
        <v>0</v>
      </c>
      <c r="R197">
        <f t="shared" si="39"/>
        <v>0</v>
      </c>
      <c r="S197">
        <f t="shared" si="40"/>
        <v>0</v>
      </c>
      <c r="T197">
        <f t="shared" si="41"/>
        <v>0</v>
      </c>
      <c r="AA197">
        <v>449465.06</v>
      </c>
      <c r="AB197">
        <v>3135</v>
      </c>
      <c r="AC197">
        <v>7</v>
      </c>
      <c r="AD197">
        <v>41657.64</v>
      </c>
      <c r="AE197">
        <v>85.4</v>
      </c>
      <c r="AF197">
        <v>0.22900000000000001</v>
      </c>
      <c r="AG197">
        <v>3.9</v>
      </c>
      <c r="AH197">
        <v>0</v>
      </c>
      <c r="AI197">
        <f t="shared" si="42"/>
        <v>0</v>
      </c>
      <c r="AJ197">
        <f t="shared" si="43"/>
        <v>0</v>
      </c>
      <c r="AK197">
        <f t="shared" si="44"/>
        <v>0</v>
      </c>
      <c r="AL197">
        <f t="shared" si="45"/>
        <v>0</v>
      </c>
      <c r="AM197">
        <f t="shared" si="46"/>
        <v>0</v>
      </c>
      <c r="AN197">
        <f t="shared" si="47"/>
        <v>0</v>
      </c>
    </row>
    <row r="198" spans="1:40" x14ac:dyDescent="0.3">
      <c r="A198" t="s">
        <v>71</v>
      </c>
      <c r="B198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36"/>
        <v>0</v>
      </c>
      <c r="P198">
        <f t="shared" si="37"/>
        <v>0</v>
      </c>
      <c r="Q198">
        <f t="shared" si="38"/>
        <v>0</v>
      </c>
      <c r="R198">
        <f t="shared" si="39"/>
        <v>0</v>
      </c>
      <c r="S198">
        <f t="shared" si="40"/>
        <v>0</v>
      </c>
      <c r="T198">
        <f t="shared" si="41"/>
        <v>0</v>
      </c>
      <c r="AA198">
        <v>691447.43</v>
      </c>
      <c r="AB198">
        <v>4970</v>
      </c>
      <c r="AC198">
        <v>11</v>
      </c>
      <c r="AD198">
        <v>71851.45</v>
      </c>
      <c r="AE198">
        <v>89.6</v>
      </c>
      <c r="AF198">
        <v>9.8000000000000004E-2</v>
      </c>
      <c r="AG198">
        <v>4.2</v>
      </c>
      <c r="AH198">
        <v>0</v>
      </c>
      <c r="AI198">
        <f t="shared" si="42"/>
        <v>0</v>
      </c>
      <c r="AJ198">
        <f t="shared" si="43"/>
        <v>0</v>
      </c>
      <c r="AK198">
        <f t="shared" si="44"/>
        <v>0</v>
      </c>
      <c r="AL198">
        <f t="shared" si="45"/>
        <v>0</v>
      </c>
      <c r="AM198">
        <f t="shared" si="46"/>
        <v>0</v>
      </c>
      <c r="AN198">
        <f t="shared" si="47"/>
        <v>0</v>
      </c>
    </row>
    <row r="199" spans="1:40" x14ac:dyDescent="0.3">
      <c r="A199" t="s">
        <v>71</v>
      </c>
      <c r="B199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36"/>
        <v>0</v>
      </c>
      <c r="P199">
        <f t="shared" si="37"/>
        <v>0</v>
      </c>
      <c r="Q199">
        <f t="shared" si="38"/>
        <v>0</v>
      </c>
      <c r="R199">
        <f t="shared" si="39"/>
        <v>0</v>
      </c>
      <c r="S199">
        <f t="shared" si="40"/>
        <v>0</v>
      </c>
      <c r="T199">
        <f t="shared" si="41"/>
        <v>0</v>
      </c>
      <c r="AA199">
        <v>574066.61</v>
      </c>
      <c r="AB199">
        <v>4366</v>
      </c>
      <c r="AC199">
        <v>15</v>
      </c>
      <c r="AD199">
        <v>54002.83</v>
      </c>
      <c r="AE199">
        <v>90.6</v>
      </c>
      <c r="AF199">
        <v>2.7E-2</v>
      </c>
      <c r="AG199">
        <v>4.5999999999999996</v>
      </c>
      <c r="AH199">
        <v>0</v>
      </c>
      <c r="AI199">
        <f t="shared" si="42"/>
        <v>0</v>
      </c>
      <c r="AJ199">
        <f t="shared" si="43"/>
        <v>0</v>
      </c>
      <c r="AK199">
        <f t="shared" si="44"/>
        <v>0</v>
      </c>
      <c r="AL199">
        <f t="shared" si="45"/>
        <v>0</v>
      </c>
      <c r="AM199">
        <f t="shared" si="46"/>
        <v>0</v>
      </c>
      <c r="AN199">
        <f t="shared" si="47"/>
        <v>0</v>
      </c>
    </row>
    <row r="200" spans="1:40" x14ac:dyDescent="0.3">
      <c r="A200" t="s">
        <v>71</v>
      </c>
      <c r="B200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36"/>
        <v>0</v>
      </c>
      <c r="P200">
        <f t="shared" si="37"/>
        <v>0</v>
      </c>
      <c r="Q200">
        <f t="shared" si="38"/>
        <v>0</v>
      </c>
      <c r="R200">
        <f t="shared" si="39"/>
        <v>0</v>
      </c>
      <c r="S200">
        <f t="shared" si="40"/>
        <v>0</v>
      </c>
      <c r="T200">
        <f t="shared" si="41"/>
        <v>0</v>
      </c>
      <c r="AA200">
        <v>578949.84</v>
      </c>
      <c r="AB200">
        <v>5012</v>
      </c>
      <c r="AC200">
        <v>13</v>
      </c>
      <c r="AD200">
        <v>54479.33</v>
      </c>
      <c r="AE200">
        <v>86</v>
      </c>
      <c r="AF200">
        <v>0.28399999999999997</v>
      </c>
      <c r="AG200">
        <v>4.3</v>
      </c>
      <c r="AH200">
        <v>1</v>
      </c>
      <c r="AI200">
        <f t="shared" si="42"/>
        <v>0</v>
      </c>
      <c r="AJ200">
        <f t="shared" si="43"/>
        <v>0</v>
      </c>
      <c r="AK200">
        <f t="shared" si="44"/>
        <v>0</v>
      </c>
      <c r="AL200">
        <f t="shared" si="45"/>
        <v>0</v>
      </c>
      <c r="AM200">
        <f t="shared" si="46"/>
        <v>0</v>
      </c>
      <c r="AN200">
        <f t="shared" si="47"/>
        <v>0</v>
      </c>
    </row>
    <row r="201" spans="1:40" x14ac:dyDescent="0.3">
      <c r="A201" t="s">
        <v>71</v>
      </c>
      <c r="B201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36"/>
        <v>0</v>
      </c>
      <c r="P201">
        <f t="shared" si="37"/>
        <v>0</v>
      </c>
      <c r="Q201">
        <f t="shared" si="38"/>
        <v>0</v>
      </c>
      <c r="R201">
        <f t="shared" si="39"/>
        <v>0</v>
      </c>
      <c r="S201">
        <f t="shared" si="40"/>
        <v>0</v>
      </c>
      <c r="T201">
        <f t="shared" si="41"/>
        <v>0</v>
      </c>
      <c r="AA201">
        <v>735786.64</v>
      </c>
      <c r="AB201">
        <v>5575</v>
      </c>
      <c r="AC201">
        <v>18</v>
      </c>
      <c r="AD201">
        <v>61391.8</v>
      </c>
      <c r="AE201">
        <v>90</v>
      </c>
      <c r="AF201">
        <v>0.189</v>
      </c>
      <c r="AG201">
        <v>4.8</v>
      </c>
      <c r="AH201">
        <v>0</v>
      </c>
      <c r="AI201">
        <f t="shared" si="42"/>
        <v>0</v>
      </c>
      <c r="AJ201">
        <f t="shared" si="43"/>
        <v>0</v>
      </c>
      <c r="AK201">
        <f t="shared" si="44"/>
        <v>0</v>
      </c>
      <c r="AL201">
        <f t="shared" si="45"/>
        <v>0</v>
      </c>
      <c r="AM201">
        <f t="shared" si="46"/>
        <v>0</v>
      </c>
      <c r="AN201">
        <f t="shared" si="47"/>
        <v>0</v>
      </c>
    </row>
    <row r="202" spans="1:40" x14ac:dyDescent="0.3">
      <c r="A202" t="s">
        <v>72</v>
      </c>
      <c r="B20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36"/>
        <v>0</v>
      </c>
      <c r="P202">
        <f t="shared" si="37"/>
        <v>0</v>
      </c>
      <c r="Q202">
        <f t="shared" si="38"/>
        <v>0</v>
      </c>
      <c r="R202">
        <f t="shared" si="39"/>
        <v>0</v>
      </c>
      <c r="S202">
        <f t="shared" si="40"/>
        <v>0</v>
      </c>
      <c r="T202">
        <f t="shared" si="41"/>
        <v>0</v>
      </c>
      <c r="AA202">
        <v>598904.9</v>
      </c>
      <c r="AB202">
        <v>5955</v>
      </c>
      <c r="AC202">
        <v>13</v>
      </c>
      <c r="AD202">
        <v>22312.93</v>
      </c>
      <c r="AE202">
        <v>84.2</v>
      </c>
      <c r="AF202">
        <v>0.123</v>
      </c>
      <c r="AG202">
        <v>4.5999999999999996</v>
      </c>
      <c r="AH202">
        <v>1</v>
      </c>
      <c r="AI202">
        <f t="shared" si="42"/>
        <v>0</v>
      </c>
      <c r="AJ202">
        <f t="shared" si="43"/>
        <v>0</v>
      </c>
      <c r="AK202">
        <f t="shared" si="44"/>
        <v>0</v>
      </c>
      <c r="AL202">
        <f t="shared" si="45"/>
        <v>0</v>
      </c>
      <c r="AM202">
        <f t="shared" si="46"/>
        <v>0</v>
      </c>
      <c r="AN202">
        <f t="shared" si="47"/>
        <v>0</v>
      </c>
    </row>
    <row r="203" spans="1:40" x14ac:dyDescent="0.3">
      <c r="A203" t="s">
        <v>72</v>
      </c>
      <c r="B20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36"/>
        <v>0</v>
      </c>
      <c r="P203">
        <f t="shared" si="37"/>
        <v>0</v>
      </c>
      <c r="Q203">
        <f t="shared" si="38"/>
        <v>0</v>
      </c>
      <c r="R203">
        <f t="shared" si="39"/>
        <v>0</v>
      </c>
      <c r="S203">
        <f t="shared" si="40"/>
        <v>0</v>
      </c>
      <c r="T203">
        <f t="shared" si="41"/>
        <v>0</v>
      </c>
      <c r="AA203">
        <v>787715.51</v>
      </c>
      <c r="AB203">
        <v>6389</v>
      </c>
      <c r="AC203">
        <v>13</v>
      </c>
      <c r="AD203">
        <v>78111.97</v>
      </c>
      <c r="AE203">
        <v>83.9</v>
      </c>
      <c r="AF203">
        <v>0.15</v>
      </c>
      <c r="AG203">
        <v>4.8</v>
      </c>
      <c r="AH203">
        <v>0</v>
      </c>
      <c r="AI203">
        <f t="shared" si="42"/>
        <v>0</v>
      </c>
      <c r="AJ203">
        <f t="shared" si="43"/>
        <v>0</v>
      </c>
      <c r="AK203">
        <f t="shared" si="44"/>
        <v>0</v>
      </c>
      <c r="AL203">
        <f t="shared" si="45"/>
        <v>0</v>
      </c>
      <c r="AM203">
        <f t="shared" si="46"/>
        <v>0</v>
      </c>
      <c r="AN203">
        <f t="shared" si="47"/>
        <v>0</v>
      </c>
    </row>
    <row r="204" spans="1:40" x14ac:dyDescent="0.3">
      <c r="A204" t="s">
        <v>72</v>
      </c>
      <c r="B204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36"/>
        <v>0</v>
      </c>
      <c r="P204">
        <f t="shared" si="37"/>
        <v>0</v>
      </c>
      <c r="Q204">
        <f t="shared" si="38"/>
        <v>0</v>
      </c>
      <c r="R204">
        <f t="shared" si="39"/>
        <v>0</v>
      </c>
      <c r="S204">
        <f t="shared" si="40"/>
        <v>0</v>
      </c>
      <c r="T204">
        <f t="shared" si="41"/>
        <v>0</v>
      </c>
      <c r="AA204">
        <v>607084.92000000004</v>
      </c>
      <c r="AB204">
        <v>6896</v>
      </c>
      <c r="AC204">
        <v>14</v>
      </c>
      <c r="AD204">
        <v>35203.230000000003</v>
      </c>
      <c r="AE204">
        <v>80.8</v>
      </c>
      <c r="AF204">
        <v>3.2000000000000001E-2</v>
      </c>
      <c r="AG204">
        <v>5</v>
      </c>
      <c r="AH204">
        <v>1</v>
      </c>
      <c r="AI204">
        <f t="shared" si="42"/>
        <v>0</v>
      </c>
      <c r="AJ204">
        <f t="shared" si="43"/>
        <v>0</v>
      </c>
      <c r="AK204">
        <f t="shared" si="44"/>
        <v>0</v>
      </c>
      <c r="AL204">
        <f t="shared" si="45"/>
        <v>0</v>
      </c>
      <c r="AM204">
        <f t="shared" si="46"/>
        <v>0</v>
      </c>
      <c r="AN204">
        <f t="shared" si="47"/>
        <v>0</v>
      </c>
    </row>
    <row r="205" spans="1:40" x14ac:dyDescent="0.3">
      <c r="A205" t="s">
        <v>72</v>
      </c>
      <c r="B205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36"/>
        <v>0</v>
      </c>
      <c r="P205">
        <f t="shared" si="37"/>
        <v>0</v>
      </c>
      <c r="Q205">
        <f t="shared" si="38"/>
        <v>0</v>
      </c>
      <c r="R205">
        <f t="shared" si="39"/>
        <v>0</v>
      </c>
      <c r="S205">
        <f t="shared" si="40"/>
        <v>0</v>
      </c>
      <c r="T205">
        <f t="shared" si="41"/>
        <v>0</v>
      </c>
      <c r="AA205">
        <v>650795.49</v>
      </c>
      <c r="AB205">
        <v>6015</v>
      </c>
      <c r="AC205">
        <v>15</v>
      </c>
      <c r="AD205">
        <v>64104.28</v>
      </c>
      <c r="AE205">
        <v>88.7</v>
      </c>
      <c r="AF205">
        <v>0.127</v>
      </c>
      <c r="AG205">
        <v>4</v>
      </c>
      <c r="AH205">
        <v>0</v>
      </c>
      <c r="AI205">
        <f t="shared" si="42"/>
        <v>0</v>
      </c>
      <c r="AJ205">
        <f t="shared" si="43"/>
        <v>0</v>
      </c>
      <c r="AK205">
        <f t="shared" si="44"/>
        <v>0</v>
      </c>
      <c r="AL205">
        <f t="shared" si="45"/>
        <v>0</v>
      </c>
      <c r="AM205">
        <f t="shared" si="46"/>
        <v>0</v>
      </c>
      <c r="AN205">
        <f t="shared" si="47"/>
        <v>0</v>
      </c>
    </row>
    <row r="206" spans="1:40" x14ac:dyDescent="0.3">
      <c r="A206" t="s">
        <v>73</v>
      </c>
      <c r="B206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36"/>
        <v>0</v>
      </c>
      <c r="P206">
        <f t="shared" si="37"/>
        <v>0</v>
      </c>
      <c r="Q206">
        <f t="shared" si="38"/>
        <v>0</v>
      </c>
      <c r="R206">
        <f t="shared" si="39"/>
        <v>0</v>
      </c>
      <c r="S206">
        <f t="shared" si="40"/>
        <v>0</v>
      </c>
      <c r="T206">
        <f t="shared" si="41"/>
        <v>0</v>
      </c>
      <c r="AA206">
        <v>825060.52</v>
      </c>
      <c r="AB206">
        <v>9476</v>
      </c>
      <c r="AC206">
        <v>24</v>
      </c>
      <c r="AD206">
        <v>92090.14</v>
      </c>
      <c r="AE206">
        <v>94.3</v>
      </c>
      <c r="AF206">
        <v>7.0000000000000007E-2</v>
      </c>
      <c r="AG206">
        <v>3.7</v>
      </c>
      <c r="AH206">
        <v>0</v>
      </c>
      <c r="AI206">
        <f t="shared" si="42"/>
        <v>0</v>
      </c>
      <c r="AJ206">
        <f t="shared" si="43"/>
        <v>0</v>
      </c>
      <c r="AK206">
        <f t="shared" si="44"/>
        <v>0</v>
      </c>
      <c r="AL206">
        <f t="shared" si="45"/>
        <v>0</v>
      </c>
      <c r="AM206">
        <f t="shared" si="46"/>
        <v>0</v>
      </c>
      <c r="AN206">
        <f t="shared" si="47"/>
        <v>0</v>
      </c>
    </row>
    <row r="207" spans="1:40" x14ac:dyDescent="0.3">
      <c r="A207" t="s">
        <v>73</v>
      </c>
      <c r="B207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36"/>
        <v>0</v>
      </c>
      <c r="P207">
        <f t="shared" si="37"/>
        <v>0</v>
      </c>
      <c r="Q207">
        <f t="shared" si="38"/>
        <v>0</v>
      </c>
      <c r="R207">
        <f t="shared" si="39"/>
        <v>0</v>
      </c>
      <c r="S207">
        <f t="shared" si="40"/>
        <v>0</v>
      </c>
      <c r="T207">
        <f t="shared" si="41"/>
        <v>0</v>
      </c>
      <c r="AA207">
        <v>795464.47</v>
      </c>
      <c r="AB207">
        <v>7875</v>
      </c>
      <c r="AC207">
        <v>19</v>
      </c>
      <c r="AD207">
        <v>54300.87</v>
      </c>
      <c r="AE207">
        <v>94.1</v>
      </c>
      <c r="AF207">
        <v>0.107</v>
      </c>
      <c r="AG207">
        <v>3.7</v>
      </c>
      <c r="AH207">
        <v>0</v>
      </c>
      <c r="AI207">
        <f t="shared" si="42"/>
        <v>0</v>
      </c>
      <c r="AJ207">
        <f t="shared" si="43"/>
        <v>0</v>
      </c>
      <c r="AK207">
        <f t="shared" si="44"/>
        <v>0</v>
      </c>
      <c r="AL207">
        <f t="shared" si="45"/>
        <v>0</v>
      </c>
      <c r="AM207">
        <f t="shared" si="46"/>
        <v>0</v>
      </c>
      <c r="AN207">
        <f t="shared" si="47"/>
        <v>0</v>
      </c>
    </row>
    <row r="208" spans="1:40" x14ac:dyDescent="0.3">
      <c r="A208" t="s">
        <v>73</v>
      </c>
      <c r="B208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36"/>
        <v>0</v>
      </c>
      <c r="P208">
        <f t="shared" si="37"/>
        <v>0</v>
      </c>
      <c r="Q208">
        <f t="shared" si="38"/>
        <v>0</v>
      </c>
      <c r="R208">
        <f t="shared" si="39"/>
        <v>0</v>
      </c>
      <c r="S208">
        <f t="shared" si="40"/>
        <v>0</v>
      </c>
      <c r="T208">
        <f t="shared" si="41"/>
        <v>0</v>
      </c>
      <c r="AA208">
        <v>671868.59</v>
      </c>
      <c r="AB208">
        <v>9283</v>
      </c>
      <c r="AC208">
        <v>19</v>
      </c>
      <c r="AD208">
        <v>37983.35</v>
      </c>
      <c r="AE208">
        <v>83.2</v>
      </c>
      <c r="AF208">
        <v>0.14899999999999999</v>
      </c>
      <c r="AG208">
        <v>3.7</v>
      </c>
      <c r="AH208">
        <v>0</v>
      </c>
      <c r="AI208">
        <f t="shared" si="42"/>
        <v>0</v>
      </c>
      <c r="AJ208">
        <f t="shared" si="43"/>
        <v>0</v>
      </c>
      <c r="AK208">
        <f t="shared" si="44"/>
        <v>0</v>
      </c>
      <c r="AL208">
        <f t="shared" si="45"/>
        <v>0</v>
      </c>
      <c r="AM208">
        <f t="shared" si="46"/>
        <v>0</v>
      </c>
      <c r="AN208">
        <f t="shared" si="47"/>
        <v>0</v>
      </c>
    </row>
    <row r="209" spans="1:40" x14ac:dyDescent="0.3">
      <c r="A209" t="s">
        <v>73</v>
      </c>
      <c r="B209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36"/>
        <v>0</v>
      </c>
      <c r="P209">
        <f t="shared" si="37"/>
        <v>0</v>
      </c>
      <c r="Q209">
        <f t="shared" si="38"/>
        <v>0</v>
      </c>
      <c r="R209">
        <f t="shared" si="39"/>
        <v>0</v>
      </c>
      <c r="S209">
        <f t="shared" si="40"/>
        <v>0</v>
      </c>
      <c r="T209">
        <f t="shared" si="41"/>
        <v>0</v>
      </c>
      <c r="AA209">
        <v>675917.63</v>
      </c>
      <c r="AB209">
        <v>8303</v>
      </c>
      <c r="AC209">
        <v>18</v>
      </c>
      <c r="AD209">
        <v>56413.83</v>
      </c>
      <c r="AE209">
        <v>93.6</v>
      </c>
      <c r="AF209">
        <v>0.11600000000000001</v>
      </c>
      <c r="AG209">
        <v>3.7</v>
      </c>
      <c r="AH209">
        <v>0</v>
      </c>
      <c r="AI209">
        <f t="shared" si="42"/>
        <v>0</v>
      </c>
      <c r="AJ209">
        <f t="shared" si="43"/>
        <v>0</v>
      </c>
      <c r="AK209">
        <f t="shared" si="44"/>
        <v>0</v>
      </c>
      <c r="AL209">
        <f t="shared" si="45"/>
        <v>0</v>
      </c>
      <c r="AM209">
        <f t="shared" si="46"/>
        <v>0</v>
      </c>
      <c r="AN209">
        <f t="shared" si="47"/>
        <v>0</v>
      </c>
    </row>
    <row r="210" spans="1:40" x14ac:dyDescent="0.3">
      <c r="A210" t="s">
        <v>74</v>
      </c>
      <c r="B210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36"/>
        <v>0</v>
      </c>
      <c r="P210">
        <f t="shared" si="37"/>
        <v>0</v>
      </c>
      <c r="Q210">
        <f t="shared" si="38"/>
        <v>0</v>
      </c>
      <c r="R210">
        <f t="shared" si="39"/>
        <v>0</v>
      </c>
      <c r="S210">
        <f t="shared" si="40"/>
        <v>0</v>
      </c>
      <c r="T210">
        <f t="shared" si="41"/>
        <v>0</v>
      </c>
      <c r="AA210">
        <v>810446.53</v>
      </c>
      <c r="AB210">
        <v>10125</v>
      </c>
      <c r="AC210">
        <v>24</v>
      </c>
      <c r="AD210">
        <v>63457.19</v>
      </c>
      <c r="AE210">
        <v>87</v>
      </c>
      <c r="AF210">
        <v>9.7000000000000003E-2</v>
      </c>
      <c r="AG210">
        <v>3.7</v>
      </c>
      <c r="AH210">
        <v>1</v>
      </c>
      <c r="AI210">
        <f t="shared" si="42"/>
        <v>0</v>
      </c>
      <c r="AJ210">
        <f t="shared" si="43"/>
        <v>0</v>
      </c>
      <c r="AK210">
        <f t="shared" si="44"/>
        <v>0</v>
      </c>
      <c r="AL210">
        <f t="shared" si="45"/>
        <v>0</v>
      </c>
      <c r="AM210">
        <f t="shared" si="46"/>
        <v>0</v>
      </c>
      <c r="AN210">
        <f t="shared" si="47"/>
        <v>0</v>
      </c>
    </row>
    <row r="211" spans="1:40" x14ac:dyDescent="0.3">
      <c r="A211" t="s">
        <v>74</v>
      </c>
      <c r="B211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36"/>
        <v>0</v>
      </c>
      <c r="P211">
        <f t="shared" si="37"/>
        <v>0</v>
      </c>
      <c r="Q211">
        <f t="shared" si="38"/>
        <v>0</v>
      </c>
      <c r="R211">
        <f t="shared" si="39"/>
        <v>0</v>
      </c>
      <c r="S211">
        <f t="shared" si="40"/>
        <v>0</v>
      </c>
      <c r="T211">
        <f t="shared" si="41"/>
        <v>0</v>
      </c>
      <c r="AA211">
        <v>691288.19</v>
      </c>
      <c r="AB211">
        <v>9458</v>
      </c>
      <c r="AC211">
        <v>19</v>
      </c>
      <c r="AD211">
        <v>62949.7</v>
      </c>
      <c r="AE211">
        <v>84.9</v>
      </c>
      <c r="AF211">
        <v>0.17100000000000001</v>
      </c>
      <c r="AG211">
        <v>3.3</v>
      </c>
      <c r="AH211">
        <v>0</v>
      </c>
      <c r="AI211">
        <f t="shared" si="42"/>
        <v>0</v>
      </c>
      <c r="AJ211">
        <f t="shared" si="43"/>
        <v>0</v>
      </c>
      <c r="AK211">
        <f t="shared" si="44"/>
        <v>0</v>
      </c>
      <c r="AL211">
        <f t="shared" si="45"/>
        <v>0</v>
      </c>
      <c r="AM211">
        <f t="shared" si="46"/>
        <v>0</v>
      </c>
      <c r="AN211">
        <f t="shared" si="47"/>
        <v>0</v>
      </c>
    </row>
    <row r="212" spans="1:40" x14ac:dyDescent="0.3">
      <c r="A212" t="s">
        <v>74</v>
      </c>
      <c r="B21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36"/>
        <v>0</v>
      </c>
      <c r="P212">
        <f t="shared" si="37"/>
        <v>0</v>
      </c>
      <c r="Q212">
        <f t="shared" si="38"/>
        <v>0</v>
      </c>
      <c r="R212">
        <f t="shared" si="39"/>
        <v>0</v>
      </c>
      <c r="S212">
        <f t="shared" si="40"/>
        <v>0</v>
      </c>
      <c r="T212">
        <f t="shared" si="41"/>
        <v>0</v>
      </c>
      <c r="AA212">
        <v>946833.54</v>
      </c>
      <c r="AB212">
        <v>12870</v>
      </c>
      <c r="AC212">
        <v>31</v>
      </c>
      <c r="AD212">
        <v>107970.19</v>
      </c>
      <c r="AE212">
        <v>91.7</v>
      </c>
      <c r="AF212">
        <v>2.9000000000000001E-2</v>
      </c>
      <c r="AG212">
        <v>3.7</v>
      </c>
      <c r="AH212">
        <v>1</v>
      </c>
      <c r="AI212">
        <f t="shared" si="42"/>
        <v>0</v>
      </c>
      <c r="AJ212">
        <f t="shared" si="43"/>
        <v>0</v>
      </c>
      <c r="AK212">
        <f t="shared" si="44"/>
        <v>0</v>
      </c>
      <c r="AL212">
        <f t="shared" si="45"/>
        <v>0</v>
      </c>
      <c r="AM212">
        <f t="shared" si="46"/>
        <v>0</v>
      </c>
      <c r="AN212">
        <f t="shared" si="47"/>
        <v>0</v>
      </c>
    </row>
    <row r="213" spans="1:40" x14ac:dyDescent="0.3">
      <c r="A213" t="s">
        <v>74</v>
      </c>
      <c r="B21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36"/>
        <v>0</v>
      </c>
      <c r="P213">
        <f t="shared" si="37"/>
        <v>0</v>
      </c>
      <c r="Q213">
        <f t="shared" si="38"/>
        <v>0</v>
      </c>
      <c r="R213">
        <f t="shared" si="39"/>
        <v>0</v>
      </c>
      <c r="S213">
        <f t="shared" si="40"/>
        <v>0</v>
      </c>
      <c r="T213">
        <f t="shared" si="41"/>
        <v>0</v>
      </c>
      <c r="AA213">
        <v>761963.23</v>
      </c>
      <c r="AB213">
        <v>9752</v>
      </c>
      <c r="AC213">
        <v>21</v>
      </c>
      <c r="AD213">
        <v>49405.75</v>
      </c>
      <c r="AE213">
        <v>87</v>
      </c>
      <c r="AF213">
        <v>9.2999999999999999E-2</v>
      </c>
      <c r="AG213">
        <v>4.0999999999999996</v>
      </c>
      <c r="AH213">
        <v>0</v>
      </c>
      <c r="AI213">
        <f t="shared" si="42"/>
        <v>0</v>
      </c>
      <c r="AJ213">
        <f t="shared" si="43"/>
        <v>0</v>
      </c>
      <c r="AK213">
        <f t="shared" si="44"/>
        <v>0</v>
      </c>
      <c r="AL213">
        <f t="shared" si="45"/>
        <v>0</v>
      </c>
      <c r="AM213">
        <f t="shared" si="46"/>
        <v>0</v>
      </c>
      <c r="AN213">
        <f t="shared" si="47"/>
        <v>0</v>
      </c>
    </row>
    <row r="214" spans="1:40" x14ac:dyDescent="0.3">
      <c r="A214" t="s">
        <v>75</v>
      </c>
      <c r="B214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36"/>
        <v>0</v>
      </c>
      <c r="P214">
        <f t="shared" si="37"/>
        <v>0</v>
      </c>
      <c r="Q214">
        <f t="shared" si="38"/>
        <v>0</v>
      </c>
      <c r="R214">
        <f t="shared" si="39"/>
        <v>0</v>
      </c>
      <c r="S214">
        <f t="shared" si="40"/>
        <v>0</v>
      </c>
      <c r="T214">
        <f t="shared" si="41"/>
        <v>0</v>
      </c>
      <c r="AA214">
        <v>812152.6</v>
      </c>
      <c r="AB214">
        <v>9505</v>
      </c>
      <c r="AC214">
        <v>25</v>
      </c>
      <c r="AD214">
        <v>50887.46</v>
      </c>
      <c r="AE214">
        <v>89.7</v>
      </c>
      <c r="AF214">
        <v>9.0999999999999998E-2</v>
      </c>
      <c r="AG214">
        <v>4.3</v>
      </c>
      <c r="AH214">
        <v>0</v>
      </c>
      <c r="AI214">
        <f t="shared" si="42"/>
        <v>0</v>
      </c>
      <c r="AJ214">
        <f t="shared" si="43"/>
        <v>0</v>
      </c>
      <c r="AK214">
        <f t="shared" si="44"/>
        <v>0</v>
      </c>
      <c r="AL214">
        <f t="shared" si="45"/>
        <v>0</v>
      </c>
      <c r="AM214">
        <f t="shared" si="46"/>
        <v>0</v>
      </c>
      <c r="AN214">
        <f t="shared" si="47"/>
        <v>0</v>
      </c>
    </row>
    <row r="215" spans="1:40" x14ac:dyDescent="0.3">
      <c r="A215" t="s">
        <v>75</v>
      </c>
      <c r="B215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36"/>
        <v>0</v>
      </c>
      <c r="P215">
        <f t="shared" si="37"/>
        <v>0</v>
      </c>
      <c r="Q215">
        <f t="shared" si="38"/>
        <v>0</v>
      </c>
      <c r="R215">
        <f t="shared" si="39"/>
        <v>0</v>
      </c>
      <c r="S215">
        <f t="shared" si="40"/>
        <v>0</v>
      </c>
      <c r="T215">
        <f t="shared" si="41"/>
        <v>0</v>
      </c>
      <c r="AA215">
        <v>804975.5</v>
      </c>
      <c r="AB215">
        <v>9412</v>
      </c>
      <c r="AC215">
        <v>22</v>
      </c>
      <c r="AD215">
        <v>41819.449999999997</v>
      </c>
      <c r="AE215">
        <v>91</v>
      </c>
      <c r="AF215">
        <v>0.15</v>
      </c>
      <c r="AG215">
        <v>4.2</v>
      </c>
      <c r="AH215">
        <v>0</v>
      </c>
      <c r="AI215">
        <f t="shared" si="42"/>
        <v>0</v>
      </c>
      <c r="AJ215">
        <f t="shared" si="43"/>
        <v>0</v>
      </c>
      <c r="AK215">
        <f t="shared" si="44"/>
        <v>0</v>
      </c>
      <c r="AL215">
        <f t="shared" si="45"/>
        <v>0</v>
      </c>
      <c r="AM215">
        <f t="shared" si="46"/>
        <v>0</v>
      </c>
      <c r="AN215">
        <f t="shared" si="47"/>
        <v>0</v>
      </c>
    </row>
    <row r="216" spans="1:40" x14ac:dyDescent="0.3">
      <c r="A216" t="s">
        <v>75</v>
      </c>
      <c r="B216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36"/>
        <v>0</v>
      </c>
      <c r="P216">
        <f t="shared" si="37"/>
        <v>0</v>
      </c>
      <c r="Q216">
        <f t="shared" si="38"/>
        <v>0</v>
      </c>
      <c r="R216">
        <f t="shared" si="39"/>
        <v>0</v>
      </c>
      <c r="S216">
        <f t="shared" si="40"/>
        <v>0</v>
      </c>
      <c r="T216">
        <f t="shared" si="41"/>
        <v>0</v>
      </c>
      <c r="AA216">
        <v>752321.72</v>
      </c>
      <c r="AB216">
        <v>9644</v>
      </c>
      <c r="AC216">
        <v>22</v>
      </c>
      <c r="AD216">
        <v>35296.54</v>
      </c>
      <c r="AE216">
        <v>88</v>
      </c>
      <c r="AF216">
        <v>0</v>
      </c>
      <c r="AG216">
        <v>4.7</v>
      </c>
      <c r="AH216">
        <v>0</v>
      </c>
      <c r="AI216">
        <f t="shared" si="42"/>
        <v>0</v>
      </c>
      <c r="AJ216">
        <f t="shared" si="43"/>
        <v>0</v>
      </c>
      <c r="AK216">
        <f t="shared" si="44"/>
        <v>0</v>
      </c>
      <c r="AL216">
        <f t="shared" si="45"/>
        <v>0</v>
      </c>
      <c r="AM216">
        <f t="shared" si="46"/>
        <v>0</v>
      </c>
      <c r="AN216">
        <f t="shared" si="47"/>
        <v>0</v>
      </c>
    </row>
    <row r="217" spans="1:40" x14ac:dyDescent="0.3">
      <c r="A217" t="s">
        <v>75</v>
      </c>
      <c r="B217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36"/>
        <v>0</v>
      </c>
      <c r="P217">
        <f t="shared" si="37"/>
        <v>0</v>
      </c>
      <c r="Q217">
        <f t="shared" si="38"/>
        <v>0</v>
      </c>
      <c r="R217">
        <f t="shared" si="39"/>
        <v>0</v>
      </c>
      <c r="S217">
        <f t="shared" si="40"/>
        <v>0</v>
      </c>
      <c r="T217">
        <f t="shared" si="41"/>
        <v>0</v>
      </c>
      <c r="AA217">
        <v>836908.24</v>
      </c>
      <c r="AB217">
        <v>11224</v>
      </c>
      <c r="AC217">
        <v>25</v>
      </c>
      <c r="AD217">
        <v>47391.09</v>
      </c>
      <c r="AE217">
        <v>88.4</v>
      </c>
      <c r="AF217">
        <v>0.14699999999999999</v>
      </c>
      <c r="AG217">
        <v>4.9000000000000004</v>
      </c>
      <c r="AH217">
        <v>0</v>
      </c>
      <c r="AI217">
        <f t="shared" si="42"/>
        <v>0</v>
      </c>
      <c r="AJ217">
        <f t="shared" si="43"/>
        <v>0</v>
      </c>
      <c r="AK217">
        <f t="shared" si="44"/>
        <v>0</v>
      </c>
      <c r="AL217">
        <f t="shared" si="45"/>
        <v>0</v>
      </c>
      <c r="AM217">
        <f t="shared" si="46"/>
        <v>0</v>
      </c>
      <c r="AN217">
        <f t="shared" si="47"/>
        <v>0</v>
      </c>
    </row>
    <row r="218" spans="1:40" x14ac:dyDescent="0.3">
      <c r="A218" t="s">
        <v>76</v>
      </c>
      <c r="B218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36"/>
        <v>0</v>
      </c>
      <c r="P218">
        <f t="shared" si="37"/>
        <v>0</v>
      </c>
      <c r="Q218">
        <f t="shared" si="38"/>
        <v>0</v>
      </c>
      <c r="R218">
        <f t="shared" si="39"/>
        <v>0</v>
      </c>
      <c r="S218">
        <f t="shared" si="40"/>
        <v>0</v>
      </c>
      <c r="T218">
        <f t="shared" si="41"/>
        <v>0</v>
      </c>
      <c r="AA218">
        <v>674289.1</v>
      </c>
      <c r="AB218">
        <v>5394</v>
      </c>
      <c r="AC218">
        <v>12</v>
      </c>
      <c r="AD218">
        <v>69180.539999999994</v>
      </c>
      <c r="AE218">
        <v>82.9</v>
      </c>
      <c r="AF218">
        <v>0.126</v>
      </c>
      <c r="AG218">
        <v>3.3</v>
      </c>
      <c r="AH218">
        <v>0</v>
      </c>
      <c r="AI218">
        <f t="shared" si="42"/>
        <v>0</v>
      </c>
      <c r="AJ218">
        <f t="shared" si="43"/>
        <v>0</v>
      </c>
      <c r="AK218">
        <f t="shared" si="44"/>
        <v>0</v>
      </c>
      <c r="AL218">
        <f t="shared" si="45"/>
        <v>0</v>
      </c>
      <c r="AM218">
        <f t="shared" si="46"/>
        <v>0</v>
      </c>
      <c r="AN218">
        <f t="shared" si="47"/>
        <v>0</v>
      </c>
    </row>
    <row r="219" spans="1:40" x14ac:dyDescent="0.3">
      <c r="A219" t="s">
        <v>76</v>
      </c>
      <c r="B219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36"/>
        <v>0</v>
      </c>
      <c r="P219">
        <f t="shared" si="37"/>
        <v>0</v>
      </c>
      <c r="Q219">
        <f t="shared" si="38"/>
        <v>0</v>
      </c>
      <c r="R219">
        <f t="shared" si="39"/>
        <v>0</v>
      </c>
      <c r="S219">
        <f t="shared" si="40"/>
        <v>0</v>
      </c>
      <c r="T219">
        <f t="shared" si="41"/>
        <v>0</v>
      </c>
      <c r="AA219">
        <v>622892.42000000004</v>
      </c>
      <c r="AB219">
        <v>5014</v>
      </c>
      <c r="AC219">
        <v>17</v>
      </c>
      <c r="AD219">
        <v>33987.33</v>
      </c>
      <c r="AE219">
        <v>94.3</v>
      </c>
      <c r="AF219">
        <v>0.246</v>
      </c>
      <c r="AG219">
        <v>3.9</v>
      </c>
      <c r="AH219">
        <v>0</v>
      </c>
      <c r="AI219">
        <f t="shared" si="42"/>
        <v>0</v>
      </c>
      <c r="AJ219">
        <f t="shared" si="43"/>
        <v>0</v>
      </c>
      <c r="AK219">
        <f t="shared" si="44"/>
        <v>0</v>
      </c>
      <c r="AL219">
        <f t="shared" si="45"/>
        <v>0</v>
      </c>
      <c r="AM219">
        <f t="shared" si="46"/>
        <v>0</v>
      </c>
      <c r="AN219">
        <f t="shared" si="47"/>
        <v>0</v>
      </c>
    </row>
    <row r="220" spans="1:40" x14ac:dyDescent="0.3">
      <c r="A220" t="s">
        <v>76</v>
      </c>
      <c r="B220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36"/>
        <v>0</v>
      </c>
      <c r="P220">
        <f t="shared" si="37"/>
        <v>0</v>
      </c>
      <c r="Q220">
        <f t="shared" si="38"/>
        <v>0</v>
      </c>
      <c r="R220">
        <f t="shared" si="39"/>
        <v>0</v>
      </c>
      <c r="S220">
        <f t="shared" si="40"/>
        <v>0</v>
      </c>
      <c r="T220">
        <f t="shared" si="41"/>
        <v>0</v>
      </c>
      <c r="AA220">
        <v>673348.56</v>
      </c>
      <c r="AB220">
        <v>4467</v>
      </c>
      <c r="AC220">
        <v>14</v>
      </c>
      <c r="AD220">
        <v>58785.33</v>
      </c>
      <c r="AE220">
        <v>90.7</v>
      </c>
      <c r="AF220">
        <v>0.22900000000000001</v>
      </c>
      <c r="AG220">
        <v>3.7</v>
      </c>
      <c r="AH220">
        <v>0</v>
      </c>
      <c r="AI220">
        <f t="shared" si="42"/>
        <v>0</v>
      </c>
      <c r="AJ220">
        <f t="shared" si="43"/>
        <v>0</v>
      </c>
      <c r="AK220">
        <f t="shared" si="44"/>
        <v>0</v>
      </c>
      <c r="AL220">
        <f t="shared" si="45"/>
        <v>0</v>
      </c>
      <c r="AM220">
        <f t="shared" si="46"/>
        <v>0</v>
      </c>
      <c r="AN220">
        <f t="shared" si="47"/>
        <v>0</v>
      </c>
    </row>
    <row r="221" spans="1:40" x14ac:dyDescent="0.3">
      <c r="A221" t="s">
        <v>76</v>
      </c>
      <c r="B221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36"/>
        <v>0</v>
      </c>
      <c r="P221">
        <f t="shared" si="37"/>
        <v>0</v>
      </c>
      <c r="Q221">
        <f t="shared" si="38"/>
        <v>0</v>
      </c>
      <c r="R221">
        <f t="shared" si="39"/>
        <v>0</v>
      </c>
      <c r="S221">
        <f t="shared" si="40"/>
        <v>0</v>
      </c>
      <c r="T221">
        <f t="shared" si="41"/>
        <v>0</v>
      </c>
      <c r="AA221">
        <v>606278.30000000005</v>
      </c>
      <c r="AB221">
        <v>4678</v>
      </c>
      <c r="AC221">
        <v>11</v>
      </c>
      <c r="AD221">
        <v>16451.849999999999</v>
      </c>
      <c r="AE221">
        <v>95.9</v>
      </c>
      <c r="AF221">
        <v>0.13300000000000001</v>
      </c>
      <c r="AG221">
        <v>3.9</v>
      </c>
      <c r="AH221">
        <v>0</v>
      </c>
      <c r="AI221">
        <f t="shared" si="42"/>
        <v>0</v>
      </c>
      <c r="AJ221">
        <f t="shared" si="43"/>
        <v>0</v>
      </c>
      <c r="AK221">
        <f t="shared" si="44"/>
        <v>0</v>
      </c>
      <c r="AL221">
        <f t="shared" si="45"/>
        <v>0</v>
      </c>
      <c r="AM221">
        <f t="shared" si="46"/>
        <v>0</v>
      </c>
      <c r="AN221">
        <f t="shared" si="47"/>
        <v>0</v>
      </c>
    </row>
    <row r="222" spans="1:40" x14ac:dyDescent="0.3">
      <c r="A222" t="s">
        <v>77</v>
      </c>
      <c r="B22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36"/>
        <v>0</v>
      </c>
      <c r="P222">
        <f t="shared" si="37"/>
        <v>0</v>
      </c>
      <c r="Q222">
        <f t="shared" si="38"/>
        <v>0</v>
      </c>
      <c r="R222">
        <f t="shared" si="39"/>
        <v>0</v>
      </c>
      <c r="S222">
        <f t="shared" si="40"/>
        <v>0</v>
      </c>
      <c r="T222">
        <f t="shared" si="41"/>
        <v>0</v>
      </c>
      <c r="AA222">
        <v>712219.81</v>
      </c>
      <c r="AB222">
        <v>7291</v>
      </c>
      <c r="AC222">
        <v>18</v>
      </c>
      <c r="AD222">
        <v>53367.73</v>
      </c>
      <c r="AE222">
        <v>90.6</v>
      </c>
      <c r="AF222">
        <v>0.14599999999999999</v>
      </c>
      <c r="AG222">
        <v>3.8</v>
      </c>
      <c r="AH222">
        <v>1</v>
      </c>
      <c r="AI222">
        <f t="shared" si="42"/>
        <v>0</v>
      </c>
      <c r="AJ222">
        <f t="shared" si="43"/>
        <v>0</v>
      </c>
      <c r="AK222">
        <f t="shared" si="44"/>
        <v>0</v>
      </c>
      <c r="AL222">
        <f t="shared" si="45"/>
        <v>0</v>
      </c>
      <c r="AM222">
        <f t="shared" si="46"/>
        <v>0</v>
      </c>
      <c r="AN222">
        <f t="shared" si="47"/>
        <v>0</v>
      </c>
    </row>
    <row r="223" spans="1:40" x14ac:dyDescent="0.3">
      <c r="A223" t="s">
        <v>77</v>
      </c>
      <c r="B22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36"/>
        <v>0</v>
      </c>
      <c r="P223">
        <f t="shared" si="37"/>
        <v>0</v>
      </c>
      <c r="Q223">
        <f t="shared" si="38"/>
        <v>0</v>
      </c>
      <c r="R223">
        <f t="shared" si="39"/>
        <v>0</v>
      </c>
      <c r="S223">
        <f t="shared" si="40"/>
        <v>0</v>
      </c>
      <c r="T223">
        <f t="shared" si="41"/>
        <v>0</v>
      </c>
      <c r="AA223">
        <v>672670.54</v>
      </c>
      <c r="AB223">
        <v>7404</v>
      </c>
      <c r="AC223">
        <v>18</v>
      </c>
      <c r="AD223">
        <v>27194.639999999999</v>
      </c>
      <c r="AE223">
        <v>90.2</v>
      </c>
      <c r="AF223">
        <v>8.7999999999999995E-2</v>
      </c>
      <c r="AG223">
        <v>3.4</v>
      </c>
      <c r="AH223">
        <v>0</v>
      </c>
      <c r="AI223">
        <f t="shared" si="42"/>
        <v>0</v>
      </c>
      <c r="AJ223">
        <f t="shared" si="43"/>
        <v>0</v>
      </c>
      <c r="AK223">
        <f t="shared" si="44"/>
        <v>0</v>
      </c>
      <c r="AL223">
        <f t="shared" si="45"/>
        <v>0</v>
      </c>
      <c r="AM223">
        <f t="shared" si="46"/>
        <v>0</v>
      </c>
      <c r="AN223">
        <f t="shared" si="47"/>
        <v>0</v>
      </c>
    </row>
    <row r="224" spans="1:40" x14ac:dyDescent="0.3">
      <c r="A224" t="s">
        <v>77</v>
      </c>
      <c r="B224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36"/>
        <v>0</v>
      </c>
      <c r="P224">
        <f t="shared" si="37"/>
        <v>0</v>
      </c>
      <c r="Q224">
        <f t="shared" si="38"/>
        <v>0</v>
      </c>
      <c r="R224">
        <f t="shared" si="39"/>
        <v>0</v>
      </c>
      <c r="S224">
        <f t="shared" si="40"/>
        <v>0</v>
      </c>
      <c r="T224">
        <f t="shared" si="41"/>
        <v>0</v>
      </c>
      <c r="AA224">
        <v>732667.92</v>
      </c>
      <c r="AB224">
        <v>7880</v>
      </c>
      <c r="AC224">
        <v>19</v>
      </c>
      <c r="AD224">
        <v>66962.740000000005</v>
      </c>
      <c r="AE224">
        <v>90.4</v>
      </c>
      <c r="AF224">
        <v>0.11600000000000001</v>
      </c>
      <c r="AG224">
        <v>3.3</v>
      </c>
      <c r="AH224">
        <v>0</v>
      </c>
      <c r="AI224">
        <f t="shared" si="42"/>
        <v>0</v>
      </c>
      <c r="AJ224">
        <f t="shared" si="43"/>
        <v>0</v>
      </c>
      <c r="AK224">
        <f t="shared" si="44"/>
        <v>0</v>
      </c>
      <c r="AL224">
        <f t="shared" si="45"/>
        <v>0</v>
      </c>
      <c r="AM224">
        <f t="shared" si="46"/>
        <v>0</v>
      </c>
      <c r="AN224">
        <f t="shared" si="47"/>
        <v>0</v>
      </c>
    </row>
    <row r="225" spans="1:40" x14ac:dyDescent="0.3">
      <c r="A225" t="s">
        <v>77</v>
      </c>
      <c r="B225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36"/>
        <v>0</v>
      </c>
      <c r="P225">
        <f t="shared" si="37"/>
        <v>0</v>
      </c>
      <c r="Q225">
        <f t="shared" si="38"/>
        <v>0</v>
      </c>
      <c r="R225">
        <f t="shared" si="39"/>
        <v>0</v>
      </c>
      <c r="S225">
        <f t="shared" si="40"/>
        <v>0</v>
      </c>
      <c r="T225">
        <f t="shared" si="41"/>
        <v>0</v>
      </c>
      <c r="AA225">
        <v>723531.4</v>
      </c>
      <c r="AB225">
        <v>8773</v>
      </c>
      <c r="AC225">
        <v>21</v>
      </c>
      <c r="AD225">
        <v>73540.990000000005</v>
      </c>
      <c r="AE225">
        <v>84.4</v>
      </c>
      <c r="AF225">
        <v>3.5000000000000003E-2</v>
      </c>
      <c r="AG225">
        <v>3.6</v>
      </c>
      <c r="AH225">
        <v>0</v>
      </c>
      <c r="AI225">
        <f t="shared" si="42"/>
        <v>0</v>
      </c>
      <c r="AJ225">
        <f t="shared" si="43"/>
        <v>0</v>
      </c>
      <c r="AK225">
        <f t="shared" si="44"/>
        <v>0</v>
      </c>
      <c r="AL225">
        <f t="shared" si="45"/>
        <v>0</v>
      </c>
      <c r="AM225">
        <f t="shared" si="46"/>
        <v>0</v>
      </c>
      <c r="AN225">
        <f t="shared" si="47"/>
        <v>0</v>
      </c>
    </row>
    <row r="226" spans="1:40" x14ac:dyDescent="0.3">
      <c r="A226" t="s">
        <v>78</v>
      </c>
      <c r="B226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36"/>
        <v>0</v>
      </c>
      <c r="P226">
        <f t="shared" si="37"/>
        <v>0</v>
      </c>
      <c r="Q226">
        <f t="shared" si="38"/>
        <v>0</v>
      </c>
      <c r="R226">
        <f t="shared" si="39"/>
        <v>0</v>
      </c>
      <c r="S226">
        <f t="shared" si="40"/>
        <v>0</v>
      </c>
      <c r="T226">
        <f t="shared" si="41"/>
        <v>0</v>
      </c>
      <c r="AA226">
        <v>641564.6</v>
      </c>
      <c r="AB226">
        <v>4713</v>
      </c>
      <c r="AC226">
        <v>15</v>
      </c>
      <c r="AD226">
        <v>68212.289999999994</v>
      </c>
      <c r="AE226">
        <v>82.6</v>
      </c>
      <c r="AF226">
        <v>0.19800000000000001</v>
      </c>
      <c r="AG226">
        <v>3</v>
      </c>
      <c r="AH226">
        <v>1</v>
      </c>
      <c r="AI226">
        <f t="shared" si="42"/>
        <v>0</v>
      </c>
      <c r="AJ226">
        <f t="shared" si="43"/>
        <v>0</v>
      </c>
      <c r="AK226">
        <f t="shared" si="44"/>
        <v>0</v>
      </c>
      <c r="AL226">
        <f t="shared" si="45"/>
        <v>0</v>
      </c>
      <c r="AM226">
        <f t="shared" si="46"/>
        <v>0</v>
      </c>
      <c r="AN226">
        <f t="shared" si="47"/>
        <v>0</v>
      </c>
    </row>
    <row r="227" spans="1:40" x14ac:dyDescent="0.3">
      <c r="A227" t="s">
        <v>78</v>
      </c>
      <c r="B227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36"/>
        <v>0</v>
      </c>
      <c r="P227">
        <f t="shared" si="37"/>
        <v>0</v>
      </c>
      <c r="Q227">
        <f t="shared" si="38"/>
        <v>0</v>
      </c>
      <c r="R227">
        <f t="shared" si="39"/>
        <v>0</v>
      </c>
      <c r="S227">
        <f t="shared" si="40"/>
        <v>0</v>
      </c>
      <c r="T227">
        <f t="shared" si="41"/>
        <v>0</v>
      </c>
      <c r="AA227">
        <v>536545.49</v>
      </c>
      <c r="AB227">
        <v>2842</v>
      </c>
      <c r="AC227">
        <v>10</v>
      </c>
      <c r="AD227">
        <v>57225.98</v>
      </c>
      <c r="AE227">
        <v>79.5</v>
      </c>
      <c r="AF227">
        <v>0.112</v>
      </c>
      <c r="AG227">
        <v>3.4</v>
      </c>
      <c r="AH227">
        <v>0</v>
      </c>
      <c r="AI227">
        <f t="shared" si="42"/>
        <v>0</v>
      </c>
      <c r="AJ227">
        <f t="shared" si="43"/>
        <v>0</v>
      </c>
      <c r="AK227">
        <f t="shared" si="44"/>
        <v>0</v>
      </c>
      <c r="AL227">
        <f t="shared" si="45"/>
        <v>0</v>
      </c>
      <c r="AM227">
        <f t="shared" si="46"/>
        <v>0</v>
      </c>
      <c r="AN227">
        <f t="shared" si="47"/>
        <v>0</v>
      </c>
    </row>
    <row r="228" spans="1:40" x14ac:dyDescent="0.3">
      <c r="A228" t="s">
        <v>78</v>
      </c>
      <c r="B228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36"/>
        <v>0</v>
      </c>
      <c r="P228">
        <f t="shared" si="37"/>
        <v>0</v>
      </c>
      <c r="Q228">
        <f t="shared" si="38"/>
        <v>0</v>
      </c>
      <c r="R228">
        <f t="shared" si="39"/>
        <v>0</v>
      </c>
      <c r="S228">
        <f t="shared" si="40"/>
        <v>0</v>
      </c>
      <c r="T228">
        <f t="shared" si="41"/>
        <v>0</v>
      </c>
      <c r="AA228">
        <v>527681.56000000006</v>
      </c>
      <c r="AB228">
        <v>3872</v>
      </c>
      <c r="AC228">
        <v>12</v>
      </c>
      <c r="AD228">
        <v>42932.02</v>
      </c>
      <c r="AE228">
        <v>83.2</v>
      </c>
      <c r="AF228">
        <v>0.17100000000000001</v>
      </c>
      <c r="AG228">
        <v>3.3</v>
      </c>
      <c r="AH228">
        <v>0</v>
      </c>
      <c r="AI228">
        <f t="shared" si="42"/>
        <v>0</v>
      </c>
      <c r="AJ228">
        <f t="shared" si="43"/>
        <v>0</v>
      </c>
      <c r="AK228">
        <f t="shared" si="44"/>
        <v>0</v>
      </c>
      <c r="AL228">
        <f t="shared" si="45"/>
        <v>0</v>
      </c>
      <c r="AM228">
        <f t="shared" si="46"/>
        <v>0</v>
      </c>
      <c r="AN228">
        <f t="shared" si="47"/>
        <v>0</v>
      </c>
    </row>
    <row r="229" spans="1:40" x14ac:dyDescent="0.3">
      <c r="A229" t="s">
        <v>78</v>
      </c>
      <c r="B229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</v>
      </c>
      <c r="M229">
        <v>529598.93999999994</v>
      </c>
      <c r="N229">
        <v>84334.33</v>
      </c>
      <c r="O229">
        <f t="shared" si="36"/>
        <v>0</v>
      </c>
      <c r="P229">
        <f t="shared" si="37"/>
        <v>0</v>
      </c>
      <c r="Q229">
        <f t="shared" si="38"/>
        <v>0</v>
      </c>
      <c r="R229">
        <f t="shared" si="39"/>
        <v>0</v>
      </c>
      <c r="S229">
        <f t="shared" si="40"/>
        <v>0</v>
      </c>
      <c r="T229">
        <f t="shared" si="41"/>
        <v>0</v>
      </c>
      <c r="AA229">
        <v>529598.93999999994</v>
      </c>
      <c r="AB229">
        <v>1375</v>
      </c>
      <c r="AC229">
        <v>5</v>
      </c>
      <c r="AD229">
        <v>39341.449999999997</v>
      </c>
      <c r="AE229">
        <v>95</v>
      </c>
      <c r="AF229">
        <v>9.2999999999999999E-2</v>
      </c>
      <c r="AG229">
        <v>3.9</v>
      </c>
      <c r="AH229">
        <v>0</v>
      </c>
      <c r="AI229">
        <f t="shared" si="42"/>
        <v>0</v>
      </c>
      <c r="AJ229">
        <f t="shared" si="43"/>
        <v>0</v>
      </c>
      <c r="AK229">
        <f t="shared" si="44"/>
        <v>0</v>
      </c>
      <c r="AL229">
        <f t="shared" si="45"/>
        <v>0</v>
      </c>
      <c r="AM229">
        <f t="shared" si="46"/>
        <v>0</v>
      </c>
      <c r="AN229">
        <f t="shared" si="47"/>
        <v>0</v>
      </c>
    </row>
    <row r="230" spans="1:40" x14ac:dyDescent="0.3">
      <c r="A230" t="s">
        <v>79</v>
      </c>
      <c r="B230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36"/>
        <v>0</v>
      </c>
      <c r="P230">
        <f t="shared" si="37"/>
        <v>0</v>
      </c>
      <c r="Q230">
        <f t="shared" si="38"/>
        <v>0</v>
      </c>
      <c r="R230">
        <f t="shared" si="39"/>
        <v>0</v>
      </c>
      <c r="S230">
        <f t="shared" si="40"/>
        <v>0</v>
      </c>
      <c r="T230">
        <f t="shared" si="41"/>
        <v>0</v>
      </c>
      <c r="AA230">
        <v>570963.31000000006</v>
      </c>
      <c r="AB230">
        <v>5957</v>
      </c>
      <c r="AC230">
        <v>12</v>
      </c>
      <c r="AD230">
        <v>37324.230000000003</v>
      </c>
      <c r="AE230">
        <v>85.9</v>
      </c>
      <c r="AF230">
        <v>7.0999999999999994E-2</v>
      </c>
      <c r="AG230">
        <v>3.8</v>
      </c>
      <c r="AH230">
        <v>0</v>
      </c>
      <c r="AI230">
        <f t="shared" si="42"/>
        <v>0</v>
      </c>
      <c r="AJ230">
        <f t="shared" si="43"/>
        <v>0</v>
      </c>
      <c r="AK230">
        <f t="shared" si="44"/>
        <v>0</v>
      </c>
      <c r="AL230">
        <f t="shared" si="45"/>
        <v>0</v>
      </c>
      <c r="AM230">
        <f t="shared" si="46"/>
        <v>0</v>
      </c>
      <c r="AN230">
        <f t="shared" si="47"/>
        <v>0</v>
      </c>
    </row>
    <row r="231" spans="1:40" x14ac:dyDescent="0.3">
      <c r="A231" t="s">
        <v>79</v>
      </c>
      <c r="B231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36"/>
        <v>0</v>
      </c>
      <c r="P231">
        <f t="shared" si="37"/>
        <v>0</v>
      </c>
      <c r="Q231">
        <f t="shared" si="38"/>
        <v>0</v>
      </c>
      <c r="R231">
        <f t="shared" si="39"/>
        <v>0</v>
      </c>
      <c r="S231">
        <f t="shared" si="40"/>
        <v>0</v>
      </c>
      <c r="T231">
        <f t="shared" si="41"/>
        <v>0</v>
      </c>
      <c r="AA231">
        <v>870937.4</v>
      </c>
      <c r="AB231">
        <v>8961</v>
      </c>
      <c r="AC231">
        <v>24</v>
      </c>
      <c r="AD231">
        <v>113736</v>
      </c>
      <c r="AE231">
        <v>86.2</v>
      </c>
      <c r="AF231">
        <v>0.20200000000000001</v>
      </c>
      <c r="AG231">
        <v>4</v>
      </c>
      <c r="AH231">
        <v>0</v>
      </c>
      <c r="AI231">
        <f t="shared" si="42"/>
        <v>0</v>
      </c>
      <c r="AJ231">
        <f t="shared" si="43"/>
        <v>0</v>
      </c>
      <c r="AK231">
        <f t="shared" si="44"/>
        <v>0</v>
      </c>
      <c r="AL231">
        <f t="shared" si="45"/>
        <v>0</v>
      </c>
      <c r="AM231">
        <f t="shared" si="46"/>
        <v>0</v>
      </c>
      <c r="AN231">
        <f t="shared" si="47"/>
        <v>0</v>
      </c>
    </row>
    <row r="232" spans="1:40" x14ac:dyDescent="0.3">
      <c r="A232" t="s">
        <v>79</v>
      </c>
      <c r="B23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36"/>
        <v>0</v>
      </c>
      <c r="P232">
        <f t="shared" si="37"/>
        <v>0</v>
      </c>
      <c r="Q232">
        <f t="shared" si="38"/>
        <v>0</v>
      </c>
      <c r="R232">
        <f t="shared" si="39"/>
        <v>0</v>
      </c>
      <c r="S232">
        <f t="shared" si="40"/>
        <v>0</v>
      </c>
      <c r="T232">
        <f t="shared" si="41"/>
        <v>0</v>
      </c>
      <c r="AA232">
        <v>596969.27</v>
      </c>
      <c r="AB232">
        <v>6545</v>
      </c>
      <c r="AC232">
        <v>15</v>
      </c>
      <c r="AD232">
        <v>33173.949999999997</v>
      </c>
      <c r="AE232">
        <v>84.4</v>
      </c>
      <c r="AF232">
        <v>0.16900000000000001</v>
      </c>
      <c r="AG232">
        <v>3.9</v>
      </c>
      <c r="AH232">
        <v>0</v>
      </c>
      <c r="AI232">
        <f t="shared" si="42"/>
        <v>0</v>
      </c>
      <c r="AJ232">
        <f t="shared" si="43"/>
        <v>0</v>
      </c>
      <c r="AK232">
        <f t="shared" si="44"/>
        <v>0</v>
      </c>
      <c r="AL232">
        <f t="shared" si="45"/>
        <v>0</v>
      </c>
      <c r="AM232">
        <f t="shared" si="46"/>
        <v>0</v>
      </c>
      <c r="AN232">
        <f t="shared" si="47"/>
        <v>0</v>
      </c>
    </row>
    <row r="233" spans="1:40" x14ac:dyDescent="0.3">
      <c r="A233" t="s">
        <v>79</v>
      </c>
      <c r="B23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3.37</v>
      </c>
      <c r="K233">
        <v>0</v>
      </c>
      <c r="L233">
        <v>3.7</v>
      </c>
      <c r="M233">
        <v>647512.85</v>
      </c>
      <c r="N233">
        <v>153835.57</v>
      </c>
      <c r="O233">
        <f t="shared" si="36"/>
        <v>0</v>
      </c>
      <c r="P233">
        <f t="shared" si="37"/>
        <v>0</v>
      </c>
      <c r="Q233">
        <f t="shared" si="38"/>
        <v>0</v>
      </c>
      <c r="R233">
        <f t="shared" si="39"/>
        <v>0</v>
      </c>
      <c r="S233">
        <f t="shared" si="40"/>
        <v>0</v>
      </c>
      <c r="T233">
        <f t="shared" si="41"/>
        <v>0</v>
      </c>
      <c r="AA233">
        <v>647512.85</v>
      </c>
      <c r="AB233">
        <v>5457</v>
      </c>
      <c r="AC233">
        <v>11</v>
      </c>
      <c r="AD233">
        <v>25818.080000000002</v>
      </c>
      <c r="AE233">
        <v>95.4</v>
      </c>
      <c r="AF233">
        <v>0</v>
      </c>
      <c r="AG233">
        <v>3.7</v>
      </c>
      <c r="AH233">
        <v>0</v>
      </c>
      <c r="AI233">
        <f t="shared" si="42"/>
        <v>0</v>
      </c>
      <c r="AJ233">
        <f t="shared" si="43"/>
        <v>0</v>
      </c>
      <c r="AK233">
        <f t="shared" si="44"/>
        <v>0</v>
      </c>
      <c r="AL233">
        <f t="shared" si="45"/>
        <v>0</v>
      </c>
      <c r="AM233">
        <f t="shared" si="46"/>
        <v>0</v>
      </c>
      <c r="AN233">
        <f t="shared" si="47"/>
        <v>0</v>
      </c>
    </row>
    <row r="234" spans="1:40" x14ac:dyDescent="0.3">
      <c r="A234" t="s">
        <v>80</v>
      </c>
      <c r="B234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36"/>
        <v>0</v>
      </c>
      <c r="P234">
        <f t="shared" si="37"/>
        <v>0</v>
      </c>
      <c r="Q234">
        <f t="shared" si="38"/>
        <v>0</v>
      </c>
      <c r="R234">
        <f t="shared" si="39"/>
        <v>0</v>
      </c>
      <c r="S234">
        <f t="shared" si="40"/>
        <v>0</v>
      </c>
      <c r="T234">
        <f t="shared" si="41"/>
        <v>0</v>
      </c>
      <c r="AA234">
        <v>658072.14</v>
      </c>
      <c r="AB234">
        <v>4264</v>
      </c>
      <c r="AC234">
        <v>13</v>
      </c>
      <c r="AD234">
        <v>47241.919999999998</v>
      </c>
      <c r="AE234">
        <v>95.3</v>
      </c>
      <c r="AF234">
        <v>6.9000000000000006E-2</v>
      </c>
      <c r="AG234">
        <v>4.3</v>
      </c>
      <c r="AH234">
        <v>0</v>
      </c>
      <c r="AI234">
        <f t="shared" si="42"/>
        <v>0</v>
      </c>
      <c r="AJ234">
        <f t="shared" si="43"/>
        <v>0</v>
      </c>
      <c r="AK234">
        <f t="shared" si="44"/>
        <v>0</v>
      </c>
      <c r="AL234">
        <f t="shared" si="45"/>
        <v>0</v>
      </c>
      <c r="AM234">
        <f t="shared" si="46"/>
        <v>0</v>
      </c>
      <c r="AN234">
        <f t="shared" si="47"/>
        <v>0</v>
      </c>
    </row>
    <row r="235" spans="1:40" x14ac:dyDescent="0.3">
      <c r="A235" t="s">
        <v>80</v>
      </c>
      <c r="B235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36"/>
        <v>0</v>
      </c>
      <c r="P235">
        <f t="shared" si="37"/>
        <v>0</v>
      </c>
      <c r="Q235">
        <f t="shared" si="38"/>
        <v>0</v>
      </c>
      <c r="R235">
        <f t="shared" si="39"/>
        <v>0</v>
      </c>
      <c r="S235">
        <f t="shared" si="40"/>
        <v>0</v>
      </c>
      <c r="T235">
        <f t="shared" si="41"/>
        <v>0</v>
      </c>
      <c r="AA235">
        <v>723305.11</v>
      </c>
      <c r="AB235">
        <v>5321</v>
      </c>
      <c r="AC235">
        <v>17</v>
      </c>
      <c r="AD235">
        <v>61650.79</v>
      </c>
      <c r="AE235">
        <v>89.2</v>
      </c>
      <c r="AF235">
        <v>0.126</v>
      </c>
      <c r="AG235">
        <v>4</v>
      </c>
      <c r="AH235">
        <v>0</v>
      </c>
      <c r="AI235">
        <f t="shared" si="42"/>
        <v>0</v>
      </c>
      <c r="AJ235">
        <f t="shared" si="43"/>
        <v>0</v>
      </c>
      <c r="AK235">
        <f t="shared" si="44"/>
        <v>0</v>
      </c>
      <c r="AL235">
        <f t="shared" si="45"/>
        <v>0</v>
      </c>
      <c r="AM235">
        <f t="shared" si="46"/>
        <v>0</v>
      </c>
      <c r="AN235">
        <f t="shared" si="47"/>
        <v>0</v>
      </c>
    </row>
    <row r="236" spans="1:40" x14ac:dyDescent="0.3">
      <c r="A236" t="s">
        <v>80</v>
      </c>
      <c r="B236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36"/>
        <v>0</v>
      </c>
      <c r="P236">
        <f t="shared" si="37"/>
        <v>0</v>
      </c>
      <c r="Q236">
        <f t="shared" si="38"/>
        <v>0</v>
      </c>
      <c r="R236">
        <f t="shared" si="39"/>
        <v>0</v>
      </c>
      <c r="S236">
        <f t="shared" si="40"/>
        <v>0</v>
      </c>
      <c r="T236">
        <f t="shared" si="41"/>
        <v>0</v>
      </c>
      <c r="AA236">
        <v>640666.53</v>
      </c>
      <c r="AB236">
        <v>5479</v>
      </c>
      <c r="AC236">
        <v>16</v>
      </c>
      <c r="AD236">
        <v>62582.71</v>
      </c>
      <c r="AE236">
        <v>81.2</v>
      </c>
      <c r="AF236">
        <v>4.8000000000000001E-2</v>
      </c>
      <c r="AG236">
        <v>4.5</v>
      </c>
      <c r="AH236">
        <v>0</v>
      </c>
      <c r="AI236">
        <f t="shared" si="42"/>
        <v>0</v>
      </c>
      <c r="AJ236">
        <f t="shared" si="43"/>
        <v>0</v>
      </c>
      <c r="AK236">
        <f t="shared" si="44"/>
        <v>0</v>
      </c>
      <c r="AL236">
        <f t="shared" si="45"/>
        <v>0</v>
      </c>
      <c r="AM236">
        <f t="shared" si="46"/>
        <v>0</v>
      </c>
      <c r="AN236">
        <f t="shared" si="47"/>
        <v>0</v>
      </c>
    </row>
    <row r="237" spans="1:40" x14ac:dyDescent="0.3">
      <c r="A237" t="s">
        <v>80</v>
      </c>
      <c r="B237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36"/>
        <v>0</v>
      </c>
      <c r="P237">
        <f t="shared" si="37"/>
        <v>0</v>
      </c>
      <c r="Q237">
        <f t="shared" si="38"/>
        <v>0</v>
      </c>
      <c r="R237">
        <f t="shared" si="39"/>
        <v>0</v>
      </c>
      <c r="S237">
        <f t="shared" si="40"/>
        <v>0</v>
      </c>
      <c r="T237">
        <f t="shared" si="41"/>
        <v>0</v>
      </c>
      <c r="AA237">
        <v>670629.48</v>
      </c>
      <c r="AB237">
        <v>6169</v>
      </c>
      <c r="AC237">
        <v>17</v>
      </c>
      <c r="AD237">
        <v>47944.14</v>
      </c>
      <c r="AE237">
        <v>92.2</v>
      </c>
      <c r="AF237">
        <v>0.11899999999999999</v>
      </c>
      <c r="AG237">
        <v>4.0999999999999996</v>
      </c>
      <c r="AH237">
        <v>0</v>
      </c>
      <c r="AI237">
        <f t="shared" si="42"/>
        <v>0</v>
      </c>
      <c r="AJ237">
        <f t="shared" si="43"/>
        <v>0</v>
      </c>
      <c r="AK237">
        <f t="shared" si="44"/>
        <v>0</v>
      </c>
      <c r="AL237">
        <f t="shared" si="45"/>
        <v>0</v>
      </c>
      <c r="AM237">
        <f t="shared" si="46"/>
        <v>0</v>
      </c>
      <c r="AN237">
        <f t="shared" si="47"/>
        <v>0</v>
      </c>
    </row>
    <row r="238" spans="1:40" x14ac:dyDescent="0.3">
      <c r="A238" t="s">
        <v>81</v>
      </c>
      <c r="B238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36"/>
        <v>0</v>
      </c>
      <c r="P238">
        <f t="shared" si="37"/>
        <v>0</v>
      </c>
      <c r="Q238">
        <f t="shared" si="38"/>
        <v>0</v>
      </c>
      <c r="R238">
        <f t="shared" si="39"/>
        <v>0</v>
      </c>
      <c r="S238">
        <f t="shared" si="40"/>
        <v>0</v>
      </c>
      <c r="T238">
        <f t="shared" si="41"/>
        <v>0</v>
      </c>
      <c r="AA238">
        <v>721079.35</v>
      </c>
      <c r="AB238">
        <v>9908</v>
      </c>
      <c r="AC238">
        <v>22</v>
      </c>
      <c r="AD238">
        <v>46495.4</v>
      </c>
      <c r="AE238">
        <v>89.4</v>
      </c>
      <c r="AF238">
        <v>0.121</v>
      </c>
      <c r="AG238">
        <v>3.7</v>
      </c>
      <c r="AH238">
        <v>0</v>
      </c>
      <c r="AI238">
        <f t="shared" si="42"/>
        <v>0</v>
      </c>
      <c r="AJ238">
        <f t="shared" si="43"/>
        <v>0</v>
      </c>
      <c r="AK238">
        <f t="shared" si="44"/>
        <v>0</v>
      </c>
      <c r="AL238">
        <f t="shared" si="45"/>
        <v>0</v>
      </c>
      <c r="AM238">
        <f t="shared" si="46"/>
        <v>0</v>
      </c>
      <c r="AN238">
        <f t="shared" si="47"/>
        <v>0</v>
      </c>
    </row>
    <row r="239" spans="1:40" x14ac:dyDescent="0.3">
      <c r="A239" t="s">
        <v>81</v>
      </c>
      <c r="B239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36"/>
        <v>0</v>
      </c>
      <c r="P239">
        <f t="shared" si="37"/>
        <v>0</v>
      </c>
      <c r="Q239">
        <f t="shared" si="38"/>
        <v>0</v>
      </c>
      <c r="R239">
        <f t="shared" si="39"/>
        <v>0</v>
      </c>
      <c r="S239">
        <f t="shared" si="40"/>
        <v>0</v>
      </c>
      <c r="T239">
        <f t="shared" si="41"/>
        <v>0</v>
      </c>
      <c r="AA239">
        <v>810355.02</v>
      </c>
      <c r="AB239">
        <v>9996</v>
      </c>
      <c r="AC239">
        <v>22</v>
      </c>
      <c r="AD239">
        <v>72961.95</v>
      </c>
      <c r="AE239">
        <v>89.1</v>
      </c>
      <c r="AF239">
        <v>0.106</v>
      </c>
      <c r="AG239">
        <v>3.4</v>
      </c>
      <c r="AH239">
        <v>0</v>
      </c>
      <c r="AI239">
        <f t="shared" si="42"/>
        <v>0</v>
      </c>
      <c r="AJ239">
        <f t="shared" si="43"/>
        <v>0</v>
      </c>
      <c r="AK239">
        <f t="shared" si="44"/>
        <v>0</v>
      </c>
      <c r="AL239">
        <f t="shared" si="45"/>
        <v>0</v>
      </c>
      <c r="AM239">
        <f t="shared" si="46"/>
        <v>0</v>
      </c>
      <c r="AN239">
        <f t="shared" si="47"/>
        <v>0</v>
      </c>
    </row>
    <row r="240" spans="1:40" x14ac:dyDescent="0.3">
      <c r="A240" t="s">
        <v>81</v>
      </c>
      <c r="B240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36"/>
        <v>0</v>
      </c>
      <c r="P240">
        <f t="shared" si="37"/>
        <v>0</v>
      </c>
      <c r="Q240">
        <f t="shared" si="38"/>
        <v>0</v>
      </c>
      <c r="R240">
        <f t="shared" si="39"/>
        <v>0</v>
      </c>
      <c r="S240">
        <f t="shared" si="40"/>
        <v>0</v>
      </c>
      <c r="T240">
        <f t="shared" si="41"/>
        <v>0</v>
      </c>
      <c r="AA240">
        <v>761919.25</v>
      </c>
      <c r="AB240">
        <v>9702</v>
      </c>
      <c r="AC240">
        <v>23</v>
      </c>
      <c r="AD240">
        <v>59060.05</v>
      </c>
      <c r="AE240">
        <v>80.900000000000006</v>
      </c>
      <c r="AF240">
        <v>0.20100000000000001</v>
      </c>
      <c r="AG240">
        <v>3.2</v>
      </c>
      <c r="AH240">
        <v>0</v>
      </c>
      <c r="AI240">
        <f t="shared" si="42"/>
        <v>0</v>
      </c>
      <c r="AJ240">
        <f t="shared" si="43"/>
        <v>0</v>
      </c>
      <c r="AK240">
        <f t="shared" si="44"/>
        <v>0</v>
      </c>
      <c r="AL240">
        <f t="shared" si="45"/>
        <v>0</v>
      </c>
      <c r="AM240">
        <f t="shared" si="46"/>
        <v>0</v>
      </c>
      <c r="AN240">
        <f t="shared" si="47"/>
        <v>0</v>
      </c>
    </row>
    <row r="241" spans="1:40" x14ac:dyDescent="0.3">
      <c r="A241" t="s">
        <v>81</v>
      </c>
      <c r="B241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36"/>
        <v>0</v>
      </c>
      <c r="P241">
        <f t="shared" si="37"/>
        <v>0</v>
      </c>
      <c r="Q241">
        <f t="shared" si="38"/>
        <v>0</v>
      </c>
      <c r="R241">
        <f t="shared" si="39"/>
        <v>0</v>
      </c>
      <c r="S241">
        <f t="shared" si="40"/>
        <v>0</v>
      </c>
      <c r="T241">
        <f t="shared" si="41"/>
        <v>0</v>
      </c>
      <c r="AA241">
        <v>737070.18</v>
      </c>
      <c r="AB241">
        <v>9314</v>
      </c>
      <c r="AC241">
        <v>21</v>
      </c>
      <c r="AD241">
        <v>26248.1</v>
      </c>
      <c r="AE241">
        <v>83.7</v>
      </c>
      <c r="AF241">
        <v>0.186</v>
      </c>
      <c r="AG241">
        <v>3.3</v>
      </c>
      <c r="AH241">
        <v>0</v>
      </c>
      <c r="AI241">
        <f t="shared" si="42"/>
        <v>0</v>
      </c>
      <c r="AJ241">
        <f t="shared" si="43"/>
        <v>0</v>
      </c>
      <c r="AK241">
        <f t="shared" si="44"/>
        <v>0</v>
      </c>
      <c r="AL241">
        <f t="shared" si="45"/>
        <v>0</v>
      </c>
      <c r="AM241">
        <f t="shared" si="46"/>
        <v>0</v>
      </c>
      <c r="AN241">
        <f t="shared" si="47"/>
        <v>0</v>
      </c>
    </row>
    <row r="242" spans="1:40" x14ac:dyDescent="0.3">
      <c r="A242" t="s">
        <v>82</v>
      </c>
      <c r="B24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36"/>
        <v>0</v>
      </c>
      <c r="P242">
        <f t="shared" si="37"/>
        <v>0</v>
      </c>
      <c r="Q242">
        <f t="shared" si="38"/>
        <v>0</v>
      </c>
      <c r="R242">
        <f t="shared" si="39"/>
        <v>0</v>
      </c>
      <c r="S242">
        <f t="shared" si="40"/>
        <v>0</v>
      </c>
      <c r="T242">
        <f t="shared" si="41"/>
        <v>0</v>
      </c>
      <c r="AA242">
        <v>776992.93</v>
      </c>
      <c r="AB242">
        <v>8055</v>
      </c>
      <c r="AC242">
        <v>22</v>
      </c>
      <c r="AD242">
        <v>69900.12</v>
      </c>
      <c r="AE242">
        <v>85.6</v>
      </c>
      <c r="AF242">
        <v>0.28100000000000003</v>
      </c>
      <c r="AG242">
        <v>2.9</v>
      </c>
      <c r="AH242">
        <v>1</v>
      </c>
      <c r="AI242">
        <f t="shared" si="42"/>
        <v>0</v>
      </c>
      <c r="AJ242">
        <f t="shared" si="43"/>
        <v>0</v>
      </c>
      <c r="AK242">
        <f t="shared" si="44"/>
        <v>0</v>
      </c>
      <c r="AL242">
        <f t="shared" si="45"/>
        <v>0</v>
      </c>
      <c r="AM242">
        <f t="shared" si="46"/>
        <v>0</v>
      </c>
      <c r="AN242">
        <f t="shared" si="47"/>
        <v>0</v>
      </c>
    </row>
    <row r="243" spans="1:40" x14ac:dyDescent="0.3">
      <c r="A243" t="s">
        <v>82</v>
      </c>
      <c r="B24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36"/>
        <v>0</v>
      </c>
      <c r="P243">
        <f t="shared" si="37"/>
        <v>0</v>
      </c>
      <c r="Q243">
        <f t="shared" si="38"/>
        <v>0</v>
      </c>
      <c r="R243">
        <f t="shared" si="39"/>
        <v>0</v>
      </c>
      <c r="S243">
        <f t="shared" si="40"/>
        <v>0</v>
      </c>
      <c r="T243">
        <f t="shared" si="41"/>
        <v>0</v>
      </c>
      <c r="AA243">
        <v>676337.41</v>
      </c>
      <c r="AB243">
        <v>5648</v>
      </c>
      <c r="AC243">
        <v>13</v>
      </c>
      <c r="AD243">
        <v>51781.599999999999</v>
      </c>
      <c r="AE243">
        <v>85.5</v>
      </c>
      <c r="AF243">
        <v>5.8999999999999997E-2</v>
      </c>
      <c r="AG243">
        <v>3.7</v>
      </c>
      <c r="AH243">
        <v>0</v>
      </c>
      <c r="AI243">
        <f t="shared" si="42"/>
        <v>0</v>
      </c>
      <c r="AJ243">
        <f t="shared" si="43"/>
        <v>0</v>
      </c>
      <c r="AK243">
        <f t="shared" si="44"/>
        <v>0</v>
      </c>
      <c r="AL243">
        <f t="shared" si="45"/>
        <v>0</v>
      </c>
      <c r="AM243">
        <f t="shared" si="46"/>
        <v>0</v>
      </c>
      <c r="AN243">
        <f t="shared" si="47"/>
        <v>0</v>
      </c>
    </row>
    <row r="244" spans="1:40" x14ac:dyDescent="0.3">
      <c r="A244" t="s">
        <v>82</v>
      </c>
      <c r="B244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36"/>
        <v>0</v>
      </c>
      <c r="P244">
        <f t="shared" si="37"/>
        <v>0</v>
      </c>
      <c r="Q244">
        <f t="shared" si="38"/>
        <v>0</v>
      </c>
      <c r="R244">
        <f t="shared" si="39"/>
        <v>0</v>
      </c>
      <c r="S244">
        <f t="shared" si="40"/>
        <v>0</v>
      </c>
      <c r="T244">
        <f t="shared" si="41"/>
        <v>0</v>
      </c>
      <c r="AA244">
        <v>828219.67</v>
      </c>
      <c r="AB244">
        <v>10076</v>
      </c>
      <c r="AC244">
        <v>24</v>
      </c>
      <c r="AD244">
        <v>70799.64</v>
      </c>
      <c r="AE244">
        <v>84.8</v>
      </c>
      <c r="AF244">
        <v>0.152</v>
      </c>
      <c r="AG244">
        <v>3.5</v>
      </c>
      <c r="AH244">
        <v>0</v>
      </c>
      <c r="AI244">
        <f t="shared" si="42"/>
        <v>0</v>
      </c>
      <c r="AJ244">
        <f t="shared" si="43"/>
        <v>0</v>
      </c>
      <c r="AK244">
        <f t="shared" si="44"/>
        <v>0</v>
      </c>
      <c r="AL244">
        <f t="shared" si="45"/>
        <v>0</v>
      </c>
      <c r="AM244">
        <f t="shared" si="46"/>
        <v>0</v>
      </c>
      <c r="AN244">
        <f t="shared" si="47"/>
        <v>0</v>
      </c>
    </row>
    <row r="245" spans="1:40" x14ac:dyDescent="0.3">
      <c r="A245" t="s">
        <v>82</v>
      </c>
      <c r="B245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36"/>
        <v>0</v>
      </c>
      <c r="P245">
        <f t="shared" si="37"/>
        <v>0</v>
      </c>
      <c r="Q245">
        <f t="shared" si="38"/>
        <v>0</v>
      </c>
      <c r="R245">
        <f t="shared" si="39"/>
        <v>0</v>
      </c>
      <c r="S245">
        <f t="shared" si="40"/>
        <v>0</v>
      </c>
      <c r="T245">
        <f t="shared" si="41"/>
        <v>0</v>
      </c>
      <c r="AA245">
        <v>763159.92</v>
      </c>
      <c r="AB245">
        <v>8004</v>
      </c>
      <c r="AC245">
        <v>21</v>
      </c>
      <c r="AD245">
        <v>53546.34</v>
      </c>
      <c r="AE245">
        <v>95.2</v>
      </c>
      <c r="AF245">
        <v>0</v>
      </c>
      <c r="AG245">
        <v>3</v>
      </c>
      <c r="AH245">
        <v>0</v>
      </c>
      <c r="AI245">
        <f t="shared" si="42"/>
        <v>0</v>
      </c>
      <c r="AJ245">
        <f t="shared" si="43"/>
        <v>0</v>
      </c>
      <c r="AK245">
        <f t="shared" si="44"/>
        <v>0</v>
      </c>
      <c r="AL245">
        <f t="shared" si="45"/>
        <v>0</v>
      </c>
      <c r="AM245">
        <f t="shared" si="46"/>
        <v>0</v>
      </c>
      <c r="AN245">
        <f t="shared" si="47"/>
        <v>0</v>
      </c>
    </row>
    <row r="246" spans="1:40" x14ac:dyDescent="0.3">
      <c r="A246" t="s">
        <v>83</v>
      </c>
      <c r="B246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36"/>
        <v>0</v>
      </c>
      <c r="P246">
        <f t="shared" si="37"/>
        <v>0</v>
      </c>
      <c r="Q246">
        <f t="shared" si="38"/>
        <v>0</v>
      </c>
      <c r="R246">
        <f t="shared" si="39"/>
        <v>0</v>
      </c>
      <c r="S246">
        <f t="shared" si="40"/>
        <v>0</v>
      </c>
      <c r="T246">
        <f t="shared" si="41"/>
        <v>0</v>
      </c>
      <c r="AA246">
        <v>802001.68</v>
      </c>
      <c r="AB246">
        <v>8934</v>
      </c>
      <c r="AC246">
        <v>20</v>
      </c>
      <c r="AD246">
        <v>76942.2</v>
      </c>
      <c r="AE246">
        <v>91</v>
      </c>
      <c r="AF246">
        <v>8.4000000000000005E-2</v>
      </c>
      <c r="AG246">
        <v>3.2</v>
      </c>
      <c r="AH246">
        <v>0</v>
      </c>
      <c r="AI246">
        <f t="shared" si="42"/>
        <v>0</v>
      </c>
      <c r="AJ246">
        <f t="shared" si="43"/>
        <v>0</v>
      </c>
      <c r="AK246">
        <f t="shared" si="44"/>
        <v>0</v>
      </c>
      <c r="AL246">
        <f t="shared" si="45"/>
        <v>0</v>
      </c>
      <c r="AM246">
        <f t="shared" si="46"/>
        <v>0</v>
      </c>
      <c r="AN246">
        <f t="shared" si="47"/>
        <v>0</v>
      </c>
    </row>
    <row r="247" spans="1:40" x14ac:dyDescent="0.3">
      <c r="A247" t="s">
        <v>83</v>
      </c>
      <c r="B247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36"/>
        <v>0</v>
      </c>
      <c r="P247">
        <f t="shared" si="37"/>
        <v>0</v>
      </c>
      <c r="Q247">
        <f t="shared" si="38"/>
        <v>0</v>
      </c>
      <c r="R247">
        <f t="shared" si="39"/>
        <v>0</v>
      </c>
      <c r="S247">
        <f t="shared" si="40"/>
        <v>0</v>
      </c>
      <c r="T247">
        <f t="shared" si="41"/>
        <v>0</v>
      </c>
      <c r="AA247">
        <v>750471.34</v>
      </c>
      <c r="AB247">
        <v>8733</v>
      </c>
      <c r="AC247">
        <v>20</v>
      </c>
      <c r="AD247">
        <v>48060.78</v>
      </c>
      <c r="AE247">
        <v>89.9</v>
      </c>
      <c r="AF247">
        <v>0</v>
      </c>
      <c r="AG247">
        <v>3.4</v>
      </c>
      <c r="AH247">
        <v>0</v>
      </c>
      <c r="AI247">
        <f t="shared" si="42"/>
        <v>0</v>
      </c>
      <c r="AJ247">
        <f t="shared" si="43"/>
        <v>0</v>
      </c>
      <c r="AK247">
        <f t="shared" si="44"/>
        <v>0</v>
      </c>
      <c r="AL247">
        <f t="shared" si="45"/>
        <v>0</v>
      </c>
      <c r="AM247">
        <f t="shared" si="46"/>
        <v>0</v>
      </c>
      <c r="AN247">
        <f t="shared" si="47"/>
        <v>0</v>
      </c>
    </row>
    <row r="248" spans="1:40" x14ac:dyDescent="0.3">
      <c r="A248" t="s">
        <v>83</v>
      </c>
      <c r="B248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36"/>
        <v>0</v>
      </c>
      <c r="P248">
        <f t="shared" si="37"/>
        <v>0</v>
      </c>
      <c r="Q248">
        <f t="shared" si="38"/>
        <v>0</v>
      </c>
      <c r="R248">
        <f t="shared" si="39"/>
        <v>0</v>
      </c>
      <c r="S248">
        <f t="shared" si="40"/>
        <v>0</v>
      </c>
      <c r="T248">
        <f t="shared" si="41"/>
        <v>0</v>
      </c>
      <c r="AA248">
        <v>679230.86</v>
      </c>
      <c r="AB248">
        <v>7374</v>
      </c>
      <c r="AC248">
        <v>21</v>
      </c>
      <c r="AD248">
        <v>57390.04</v>
      </c>
      <c r="AE248">
        <v>91.8</v>
      </c>
      <c r="AF248">
        <v>0.21</v>
      </c>
      <c r="AG248">
        <v>3.1</v>
      </c>
      <c r="AH248">
        <v>0</v>
      </c>
      <c r="AI248">
        <f t="shared" si="42"/>
        <v>0</v>
      </c>
      <c r="AJ248">
        <f t="shared" si="43"/>
        <v>0</v>
      </c>
      <c r="AK248">
        <f t="shared" si="44"/>
        <v>0</v>
      </c>
      <c r="AL248">
        <f t="shared" si="45"/>
        <v>0</v>
      </c>
      <c r="AM248">
        <f t="shared" si="46"/>
        <v>0</v>
      </c>
      <c r="AN248">
        <f t="shared" si="47"/>
        <v>0</v>
      </c>
    </row>
    <row r="249" spans="1:40" x14ac:dyDescent="0.3">
      <c r="A249" t="s">
        <v>83</v>
      </c>
      <c r="B249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36"/>
        <v>0</v>
      </c>
      <c r="P249">
        <f t="shared" si="37"/>
        <v>0</v>
      </c>
      <c r="Q249">
        <f t="shared" si="38"/>
        <v>0</v>
      </c>
      <c r="R249">
        <f t="shared" si="39"/>
        <v>0</v>
      </c>
      <c r="S249">
        <f t="shared" si="40"/>
        <v>0</v>
      </c>
      <c r="T249">
        <f t="shared" si="41"/>
        <v>0</v>
      </c>
      <c r="AA249">
        <v>679888.74</v>
      </c>
      <c r="AB249">
        <v>8119</v>
      </c>
      <c r="AC249">
        <v>20</v>
      </c>
      <c r="AD249">
        <v>21536.18</v>
      </c>
      <c r="AE249">
        <v>90.4</v>
      </c>
      <c r="AF249">
        <v>0.22700000000000001</v>
      </c>
      <c r="AG249">
        <v>3.3</v>
      </c>
      <c r="AH249">
        <v>0</v>
      </c>
      <c r="AI249">
        <f t="shared" si="42"/>
        <v>0</v>
      </c>
      <c r="AJ249">
        <f t="shared" si="43"/>
        <v>0</v>
      </c>
      <c r="AK249">
        <f t="shared" si="44"/>
        <v>0</v>
      </c>
      <c r="AL249">
        <f t="shared" si="45"/>
        <v>0</v>
      </c>
      <c r="AM249">
        <f t="shared" si="46"/>
        <v>0</v>
      </c>
      <c r="AN249">
        <f t="shared" si="47"/>
        <v>0</v>
      </c>
    </row>
    <row r="250" spans="1:40" x14ac:dyDescent="0.3">
      <c r="A250" t="s">
        <v>84</v>
      </c>
      <c r="B250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3.37</v>
      </c>
      <c r="K250">
        <v>0</v>
      </c>
      <c r="L250">
        <v>3.8</v>
      </c>
      <c r="M250">
        <v>606783.67000000004</v>
      </c>
      <c r="N250">
        <v>74515.87</v>
      </c>
      <c r="O250">
        <f t="shared" si="36"/>
        <v>0</v>
      </c>
      <c r="P250">
        <f t="shared" si="37"/>
        <v>0</v>
      </c>
      <c r="Q250">
        <f t="shared" si="38"/>
        <v>0</v>
      </c>
      <c r="R250">
        <f t="shared" si="39"/>
        <v>0</v>
      </c>
      <c r="S250">
        <f t="shared" si="40"/>
        <v>0</v>
      </c>
      <c r="T250">
        <f t="shared" si="41"/>
        <v>0</v>
      </c>
      <c r="AA250">
        <v>606783.67000000004</v>
      </c>
      <c r="AB250">
        <v>3875</v>
      </c>
      <c r="AC250">
        <v>10</v>
      </c>
      <c r="AD250">
        <v>40923.67</v>
      </c>
      <c r="AE250">
        <v>96.1</v>
      </c>
      <c r="AF250">
        <v>0.15</v>
      </c>
      <c r="AG250">
        <v>3.8</v>
      </c>
      <c r="AH250">
        <v>0</v>
      </c>
      <c r="AI250">
        <f t="shared" si="42"/>
        <v>0</v>
      </c>
      <c r="AJ250">
        <f t="shared" si="43"/>
        <v>0</v>
      </c>
      <c r="AK250">
        <f t="shared" si="44"/>
        <v>0</v>
      </c>
      <c r="AL250">
        <f t="shared" si="45"/>
        <v>0</v>
      </c>
      <c r="AM250">
        <f t="shared" si="46"/>
        <v>0</v>
      </c>
      <c r="AN250">
        <f t="shared" si="47"/>
        <v>0</v>
      </c>
    </row>
    <row r="251" spans="1:40" x14ac:dyDescent="0.3">
      <c r="A251" t="s">
        <v>84</v>
      </c>
      <c r="B251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36"/>
        <v>0</v>
      </c>
      <c r="P251">
        <f t="shared" si="37"/>
        <v>0</v>
      </c>
      <c r="Q251">
        <f t="shared" si="38"/>
        <v>0</v>
      </c>
      <c r="R251">
        <f t="shared" si="39"/>
        <v>0</v>
      </c>
      <c r="S251">
        <f t="shared" si="40"/>
        <v>0</v>
      </c>
      <c r="T251">
        <f t="shared" si="41"/>
        <v>0</v>
      </c>
      <c r="AA251">
        <v>642751.42000000004</v>
      </c>
      <c r="AB251">
        <v>5765</v>
      </c>
      <c r="AC251">
        <v>17</v>
      </c>
      <c r="AD251">
        <v>72932.55</v>
      </c>
      <c r="AE251">
        <v>81.8</v>
      </c>
      <c r="AF251">
        <v>2.5999999999999999E-2</v>
      </c>
      <c r="AG251">
        <v>3.6</v>
      </c>
      <c r="AH251">
        <v>0</v>
      </c>
      <c r="AI251">
        <f t="shared" si="42"/>
        <v>0</v>
      </c>
      <c r="AJ251">
        <f t="shared" si="43"/>
        <v>0</v>
      </c>
      <c r="AK251">
        <f t="shared" si="44"/>
        <v>0</v>
      </c>
      <c r="AL251">
        <f t="shared" si="45"/>
        <v>0</v>
      </c>
      <c r="AM251">
        <f t="shared" si="46"/>
        <v>0</v>
      </c>
      <c r="AN251">
        <f t="shared" si="47"/>
        <v>0</v>
      </c>
    </row>
    <row r="252" spans="1:40" x14ac:dyDescent="0.3">
      <c r="A252" t="s">
        <v>84</v>
      </c>
      <c r="B25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36"/>
        <v>0</v>
      </c>
      <c r="P252">
        <f t="shared" si="37"/>
        <v>0</v>
      </c>
      <c r="Q252">
        <f t="shared" si="38"/>
        <v>0</v>
      </c>
      <c r="R252">
        <f t="shared" si="39"/>
        <v>0</v>
      </c>
      <c r="S252">
        <f t="shared" si="40"/>
        <v>0</v>
      </c>
      <c r="T252">
        <f t="shared" si="41"/>
        <v>0</v>
      </c>
      <c r="AA252">
        <v>647953.78</v>
      </c>
      <c r="AB252">
        <v>6322</v>
      </c>
      <c r="AC252">
        <v>15</v>
      </c>
      <c r="AD252">
        <v>38361.93</v>
      </c>
      <c r="AE252">
        <v>88.4</v>
      </c>
      <c r="AF252">
        <v>0.27300000000000002</v>
      </c>
      <c r="AG252">
        <v>4</v>
      </c>
      <c r="AH252">
        <v>0</v>
      </c>
      <c r="AI252">
        <f t="shared" si="42"/>
        <v>0</v>
      </c>
      <c r="AJ252">
        <f t="shared" si="43"/>
        <v>0</v>
      </c>
      <c r="AK252">
        <f t="shared" si="44"/>
        <v>0</v>
      </c>
      <c r="AL252">
        <f t="shared" si="45"/>
        <v>0</v>
      </c>
      <c r="AM252">
        <f t="shared" si="46"/>
        <v>0</v>
      </c>
      <c r="AN252">
        <f t="shared" si="47"/>
        <v>0</v>
      </c>
    </row>
    <row r="253" spans="1:40" x14ac:dyDescent="0.3">
      <c r="A253" t="s">
        <v>84</v>
      </c>
      <c r="B25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36"/>
        <v>0</v>
      </c>
      <c r="P253">
        <f t="shared" si="37"/>
        <v>0</v>
      </c>
      <c r="Q253">
        <f t="shared" si="38"/>
        <v>0</v>
      </c>
      <c r="R253">
        <f t="shared" si="39"/>
        <v>0</v>
      </c>
      <c r="S253">
        <f t="shared" si="40"/>
        <v>0</v>
      </c>
      <c r="T253">
        <f t="shared" si="41"/>
        <v>0</v>
      </c>
      <c r="AA253">
        <v>729440.45</v>
      </c>
      <c r="AB253">
        <v>6840</v>
      </c>
      <c r="AC253">
        <v>14</v>
      </c>
      <c r="AD253">
        <v>97480.94</v>
      </c>
      <c r="AE253">
        <v>79.2</v>
      </c>
      <c r="AF253">
        <v>8.6999999999999994E-2</v>
      </c>
      <c r="AG253">
        <v>4</v>
      </c>
      <c r="AH253">
        <v>0</v>
      </c>
      <c r="AI253">
        <f t="shared" si="42"/>
        <v>0</v>
      </c>
      <c r="AJ253">
        <f t="shared" si="43"/>
        <v>0</v>
      </c>
      <c r="AK253">
        <f t="shared" si="44"/>
        <v>0</v>
      </c>
      <c r="AL253">
        <f t="shared" si="45"/>
        <v>0</v>
      </c>
      <c r="AM253">
        <f t="shared" si="46"/>
        <v>0</v>
      </c>
      <c r="AN253">
        <f t="shared" si="47"/>
        <v>0</v>
      </c>
    </row>
    <row r="254" spans="1:40" x14ac:dyDescent="0.3">
      <c r="A254" t="s">
        <v>85</v>
      </c>
      <c r="B254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36"/>
        <v>0</v>
      </c>
      <c r="P254">
        <f t="shared" si="37"/>
        <v>0</v>
      </c>
      <c r="Q254">
        <f t="shared" si="38"/>
        <v>0</v>
      </c>
      <c r="R254">
        <f t="shared" si="39"/>
        <v>0</v>
      </c>
      <c r="S254">
        <f t="shared" si="40"/>
        <v>0</v>
      </c>
      <c r="T254">
        <f t="shared" si="41"/>
        <v>0</v>
      </c>
      <c r="AA254">
        <v>764949</v>
      </c>
      <c r="AB254">
        <v>6782</v>
      </c>
      <c r="AC254">
        <v>16</v>
      </c>
      <c r="AD254">
        <v>81801.8</v>
      </c>
      <c r="AE254">
        <v>99</v>
      </c>
      <c r="AF254">
        <v>0.05</v>
      </c>
      <c r="AG254">
        <v>3.7</v>
      </c>
      <c r="AH254">
        <v>0</v>
      </c>
      <c r="AI254">
        <f t="shared" si="42"/>
        <v>0</v>
      </c>
      <c r="AJ254">
        <f t="shared" si="43"/>
        <v>0</v>
      </c>
      <c r="AK254">
        <f t="shared" si="44"/>
        <v>0</v>
      </c>
      <c r="AL254">
        <f t="shared" si="45"/>
        <v>0</v>
      </c>
      <c r="AM254">
        <f t="shared" si="46"/>
        <v>0</v>
      </c>
      <c r="AN254">
        <f t="shared" si="47"/>
        <v>0</v>
      </c>
    </row>
    <row r="255" spans="1:40" x14ac:dyDescent="0.3">
      <c r="A255" t="s">
        <v>85</v>
      </c>
      <c r="B255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36"/>
        <v>0</v>
      </c>
      <c r="P255">
        <f t="shared" si="37"/>
        <v>0</v>
      </c>
      <c r="Q255">
        <f t="shared" si="38"/>
        <v>0</v>
      </c>
      <c r="R255">
        <f t="shared" si="39"/>
        <v>0</v>
      </c>
      <c r="S255">
        <f t="shared" si="40"/>
        <v>0</v>
      </c>
      <c r="T255">
        <f t="shared" si="41"/>
        <v>0</v>
      </c>
      <c r="AA255">
        <v>799046.94</v>
      </c>
      <c r="AB255">
        <v>6856</v>
      </c>
      <c r="AC255">
        <v>17</v>
      </c>
      <c r="AD255">
        <v>63582.11</v>
      </c>
      <c r="AE255">
        <v>89.5</v>
      </c>
      <c r="AF255">
        <v>7.3999999999999996E-2</v>
      </c>
      <c r="AG255">
        <v>3.2</v>
      </c>
      <c r="AH255">
        <v>0</v>
      </c>
      <c r="AI255">
        <f t="shared" si="42"/>
        <v>0</v>
      </c>
      <c r="AJ255">
        <f t="shared" si="43"/>
        <v>0</v>
      </c>
      <c r="AK255">
        <f t="shared" si="44"/>
        <v>0</v>
      </c>
      <c r="AL255">
        <f t="shared" si="45"/>
        <v>0</v>
      </c>
      <c r="AM255">
        <f t="shared" si="46"/>
        <v>0</v>
      </c>
      <c r="AN255">
        <f t="shared" si="47"/>
        <v>0</v>
      </c>
    </row>
    <row r="256" spans="1:40" x14ac:dyDescent="0.3">
      <c r="A256" t="s">
        <v>85</v>
      </c>
      <c r="B256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36"/>
        <v>0</v>
      </c>
      <c r="P256">
        <f t="shared" si="37"/>
        <v>0</v>
      </c>
      <c r="Q256">
        <f t="shared" si="38"/>
        <v>0</v>
      </c>
      <c r="R256">
        <f t="shared" si="39"/>
        <v>0</v>
      </c>
      <c r="S256">
        <f t="shared" si="40"/>
        <v>0</v>
      </c>
      <c r="T256">
        <f t="shared" si="41"/>
        <v>0</v>
      </c>
      <c r="AA256">
        <v>720079.54</v>
      </c>
      <c r="AB256">
        <v>5641</v>
      </c>
      <c r="AC256">
        <v>13</v>
      </c>
      <c r="AD256">
        <v>75412.740000000005</v>
      </c>
      <c r="AE256">
        <v>87.9</v>
      </c>
      <c r="AF256">
        <v>5.8999999999999997E-2</v>
      </c>
      <c r="AG256">
        <v>3.6</v>
      </c>
      <c r="AH256">
        <v>0</v>
      </c>
      <c r="AI256">
        <f t="shared" si="42"/>
        <v>0</v>
      </c>
      <c r="AJ256">
        <f t="shared" si="43"/>
        <v>0</v>
      </c>
      <c r="AK256">
        <f t="shared" si="44"/>
        <v>0</v>
      </c>
      <c r="AL256">
        <f t="shared" si="45"/>
        <v>0</v>
      </c>
      <c r="AM256">
        <f t="shared" si="46"/>
        <v>0</v>
      </c>
      <c r="AN256">
        <f t="shared" si="47"/>
        <v>0</v>
      </c>
    </row>
    <row r="257" spans="1:40" x14ac:dyDescent="0.3">
      <c r="A257" t="s">
        <v>85</v>
      </c>
      <c r="B257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36"/>
        <v>0</v>
      </c>
      <c r="P257">
        <f t="shared" si="37"/>
        <v>0</v>
      </c>
      <c r="Q257">
        <f t="shared" si="38"/>
        <v>0</v>
      </c>
      <c r="R257">
        <f t="shared" si="39"/>
        <v>0</v>
      </c>
      <c r="S257">
        <f t="shared" si="40"/>
        <v>0</v>
      </c>
      <c r="T257">
        <f t="shared" si="41"/>
        <v>0</v>
      </c>
      <c r="AA257">
        <v>612390.14</v>
      </c>
      <c r="AB257">
        <v>5787</v>
      </c>
      <c r="AC257">
        <v>17</v>
      </c>
      <c r="AD257">
        <v>36290.080000000002</v>
      </c>
      <c r="AE257">
        <v>88.3</v>
      </c>
      <c r="AF257">
        <v>0</v>
      </c>
      <c r="AG257">
        <v>4.0999999999999996</v>
      </c>
      <c r="AH257">
        <v>0</v>
      </c>
      <c r="AI257">
        <f t="shared" si="42"/>
        <v>0</v>
      </c>
      <c r="AJ257">
        <f t="shared" si="43"/>
        <v>0</v>
      </c>
      <c r="AK257">
        <f t="shared" si="44"/>
        <v>0</v>
      </c>
      <c r="AL257">
        <f t="shared" si="45"/>
        <v>0</v>
      </c>
      <c r="AM257">
        <f t="shared" si="46"/>
        <v>0</v>
      </c>
      <c r="AN257">
        <f t="shared" si="47"/>
        <v>0</v>
      </c>
    </row>
    <row r="258" spans="1:40" x14ac:dyDescent="0.3">
      <c r="A258" t="s">
        <v>86</v>
      </c>
      <c r="B258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36"/>
        <v>0</v>
      </c>
      <c r="P258">
        <f t="shared" si="37"/>
        <v>0</v>
      </c>
      <c r="Q258">
        <f t="shared" si="38"/>
        <v>0</v>
      </c>
      <c r="R258">
        <f t="shared" si="39"/>
        <v>0</v>
      </c>
      <c r="S258">
        <f t="shared" si="40"/>
        <v>0</v>
      </c>
      <c r="T258">
        <f t="shared" si="41"/>
        <v>0</v>
      </c>
      <c r="AA258">
        <v>840108.12</v>
      </c>
      <c r="AB258">
        <v>8165</v>
      </c>
      <c r="AC258">
        <v>19</v>
      </c>
      <c r="AD258">
        <v>65272.58</v>
      </c>
      <c r="AE258">
        <v>87.8</v>
      </c>
      <c r="AF258">
        <v>5.0999999999999997E-2</v>
      </c>
      <c r="AG258">
        <v>4.3</v>
      </c>
      <c r="AH258">
        <v>1</v>
      </c>
      <c r="AI258">
        <f t="shared" si="42"/>
        <v>0</v>
      </c>
      <c r="AJ258">
        <f t="shared" si="43"/>
        <v>0</v>
      </c>
      <c r="AK258">
        <f t="shared" si="44"/>
        <v>0</v>
      </c>
      <c r="AL258">
        <f t="shared" si="45"/>
        <v>0</v>
      </c>
      <c r="AM258">
        <f t="shared" si="46"/>
        <v>0</v>
      </c>
      <c r="AN258">
        <f t="shared" si="47"/>
        <v>0</v>
      </c>
    </row>
    <row r="259" spans="1:40" x14ac:dyDescent="0.3">
      <c r="A259" t="s">
        <v>86</v>
      </c>
      <c r="B259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48">IF(M259="North",1,0)</f>
        <v>0</v>
      </c>
      <c r="P259">
        <f t="shared" ref="P259:P321" si="49">IF(M259="South",1,0)</f>
        <v>0</v>
      </c>
      <c r="Q259">
        <f t="shared" ref="Q259:Q321" si="50">IF(M259="West",1,0)</f>
        <v>0</v>
      </c>
      <c r="R259">
        <f t="shared" ref="R259:R321" si="51">IF(N259="High Street",1,0)</f>
        <v>0</v>
      </c>
      <c r="S259">
        <f t="shared" ref="S259:S321" si="52">IF(N259="Airport",1,0)</f>
        <v>0</v>
      </c>
      <c r="T259">
        <f t="shared" ref="T259:T321" si="53">IF(N259="Mall",1,0)</f>
        <v>0</v>
      </c>
      <c r="AA259">
        <v>697888.09</v>
      </c>
      <c r="AB259">
        <v>7574</v>
      </c>
      <c r="AC259">
        <v>19</v>
      </c>
      <c r="AD259">
        <v>28670.43</v>
      </c>
      <c r="AE259">
        <v>82.7</v>
      </c>
      <c r="AF259">
        <v>0.114</v>
      </c>
      <c r="AG259">
        <v>4.5999999999999996</v>
      </c>
      <c r="AH259">
        <v>0</v>
      </c>
      <c r="AI259">
        <f t="shared" ref="AI259:AI321" si="54">IF(AG259="North",1,0)</f>
        <v>0</v>
      </c>
      <c r="AJ259">
        <f t="shared" ref="AJ259:AJ321" si="55">IF(AG259="South",1,0)</f>
        <v>0</v>
      </c>
      <c r="AK259">
        <f t="shared" ref="AK259:AK321" si="56">IF(AG259="West",1,0)</f>
        <v>0</v>
      </c>
      <c r="AL259">
        <f t="shared" ref="AL259:AL321" si="57">IF(AH259="High Street",1,0)</f>
        <v>0</v>
      </c>
      <c r="AM259">
        <f t="shared" ref="AM259:AM321" si="58">IF(AH259="Airport",1,0)</f>
        <v>0</v>
      </c>
      <c r="AN259">
        <f t="shared" ref="AN259:AN321" si="59">IF(AH259="Mall",1,0)</f>
        <v>0</v>
      </c>
    </row>
    <row r="260" spans="1:40" x14ac:dyDescent="0.3">
      <c r="A260" t="s">
        <v>86</v>
      </c>
      <c r="B260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48"/>
        <v>0</v>
      </c>
      <c r="P260">
        <f t="shared" si="49"/>
        <v>0</v>
      </c>
      <c r="Q260">
        <f t="shared" si="50"/>
        <v>0</v>
      </c>
      <c r="R260">
        <f t="shared" si="51"/>
        <v>0</v>
      </c>
      <c r="S260">
        <f t="shared" si="52"/>
        <v>0</v>
      </c>
      <c r="T260">
        <f t="shared" si="53"/>
        <v>0</v>
      </c>
      <c r="AA260">
        <v>746115.59</v>
      </c>
      <c r="AB260">
        <v>8634</v>
      </c>
      <c r="AC260">
        <v>19</v>
      </c>
      <c r="AD260">
        <v>44189.34</v>
      </c>
      <c r="AE260">
        <v>87.5</v>
      </c>
      <c r="AF260">
        <v>0.14299999999999999</v>
      </c>
      <c r="AG260">
        <v>4.4000000000000004</v>
      </c>
      <c r="AH260">
        <v>0</v>
      </c>
      <c r="AI260">
        <f t="shared" si="54"/>
        <v>0</v>
      </c>
      <c r="AJ260">
        <f t="shared" si="55"/>
        <v>0</v>
      </c>
      <c r="AK260">
        <f t="shared" si="56"/>
        <v>0</v>
      </c>
      <c r="AL260">
        <f t="shared" si="57"/>
        <v>0</v>
      </c>
      <c r="AM260">
        <f t="shared" si="58"/>
        <v>0</v>
      </c>
      <c r="AN260">
        <f t="shared" si="59"/>
        <v>0</v>
      </c>
    </row>
    <row r="261" spans="1:40" x14ac:dyDescent="0.3">
      <c r="A261" t="s">
        <v>86</v>
      </c>
      <c r="B261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48"/>
        <v>0</v>
      </c>
      <c r="P261">
        <f t="shared" si="49"/>
        <v>0</v>
      </c>
      <c r="Q261">
        <f t="shared" si="50"/>
        <v>0</v>
      </c>
      <c r="R261">
        <f t="shared" si="51"/>
        <v>0</v>
      </c>
      <c r="S261">
        <f t="shared" si="52"/>
        <v>0</v>
      </c>
      <c r="T261">
        <f t="shared" si="53"/>
        <v>0</v>
      </c>
      <c r="AA261">
        <v>776110.32</v>
      </c>
      <c r="AB261">
        <v>7836</v>
      </c>
      <c r="AC261">
        <v>21</v>
      </c>
      <c r="AD261">
        <v>38397.82</v>
      </c>
      <c r="AE261">
        <v>92.2</v>
      </c>
      <c r="AF261">
        <v>7.0000000000000001E-3</v>
      </c>
      <c r="AG261">
        <v>3.6</v>
      </c>
      <c r="AH261">
        <v>0</v>
      </c>
      <c r="AI261">
        <f t="shared" si="54"/>
        <v>0</v>
      </c>
      <c r="AJ261">
        <f t="shared" si="55"/>
        <v>0</v>
      </c>
      <c r="AK261">
        <f t="shared" si="56"/>
        <v>0</v>
      </c>
      <c r="AL261">
        <f t="shared" si="57"/>
        <v>0</v>
      </c>
      <c r="AM261">
        <f t="shared" si="58"/>
        <v>0</v>
      </c>
      <c r="AN261">
        <f t="shared" si="59"/>
        <v>0</v>
      </c>
    </row>
    <row r="262" spans="1:40" x14ac:dyDescent="0.3">
      <c r="A262" t="s">
        <v>87</v>
      </c>
      <c r="B26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48"/>
        <v>0</v>
      </c>
      <c r="P262">
        <f t="shared" si="49"/>
        <v>0</v>
      </c>
      <c r="Q262">
        <f t="shared" si="50"/>
        <v>0</v>
      </c>
      <c r="R262">
        <f t="shared" si="51"/>
        <v>0</v>
      </c>
      <c r="S262">
        <f t="shared" si="52"/>
        <v>0</v>
      </c>
      <c r="T262">
        <f t="shared" si="53"/>
        <v>0</v>
      </c>
      <c r="AA262">
        <v>528852.62</v>
      </c>
      <c r="AB262">
        <v>3047</v>
      </c>
      <c r="AC262">
        <v>10</v>
      </c>
      <c r="AD262">
        <v>14519.37</v>
      </c>
      <c r="AE262">
        <v>90.3</v>
      </c>
      <c r="AF262">
        <v>0.13500000000000001</v>
      </c>
      <c r="AG262">
        <v>4.2</v>
      </c>
      <c r="AH262">
        <v>0</v>
      </c>
      <c r="AI262">
        <f t="shared" si="54"/>
        <v>0</v>
      </c>
      <c r="AJ262">
        <f t="shared" si="55"/>
        <v>0</v>
      </c>
      <c r="AK262">
        <f t="shared" si="56"/>
        <v>0</v>
      </c>
      <c r="AL262">
        <f t="shared" si="57"/>
        <v>0</v>
      </c>
      <c r="AM262">
        <f t="shared" si="58"/>
        <v>0</v>
      </c>
      <c r="AN262">
        <f t="shared" si="59"/>
        <v>0</v>
      </c>
    </row>
    <row r="263" spans="1:40" x14ac:dyDescent="0.3">
      <c r="A263" t="s">
        <v>87</v>
      </c>
      <c r="B26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3.37</v>
      </c>
      <c r="K263">
        <v>0</v>
      </c>
      <c r="L263">
        <v>4.2</v>
      </c>
      <c r="M263">
        <v>605751.32999999996</v>
      </c>
      <c r="N263">
        <v>60685.53</v>
      </c>
      <c r="O263">
        <f t="shared" si="48"/>
        <v>0</v>
      </c>
      <c r="P263">
        <f t="shared" si="49"/>
        <v>0</v>
      </c>
      <c r="Q263">
        <f t="shared" si="50"/>
        <v>0</v>
      </c>
      <c r="R263">
        <f t="shared" si="51"/>
        <v>0</v>
      </c>
      <c r="S263">
        <f t="shared" si="52"/>
        <v>0</v>
      </c>
      <c r="T263">
        <f t="shared" si="53"/>
        <v>0</v>
      </c>
      <c r="AA263">
        <v>605751.32999999996</v>
      </c>
      <c r="AB263">
        <v>4783</v>
      </c>
      <c r="AC263">
        <v>13</v>
      </c>
      <c r="AD263">
        <v>43288.2</v>
      </c>
      <c r="AE263">
        <v>87.3</v>
      </c>
      <c r="AF263">
        <v>0.16900000000000001</v>
      </c>
      <c r="AG263">
        <v>4.2</v>
      </c>
      <c r="AH263">
        <v>0</v>
      </c>
      <c r="AI263">
        <f t="shared" si="54"/>
        <v>0</v>
      </c>
      <c r="AJ263">
        <f t="shared" si="55"/>
        <v>0</v>
      </c>
      <c r="AK263">
        <f t="shared" si="56"/>
        <v>0</v>
      </c>
      <c r="AL263">
        <f t="shared" si="57"/>
        <v>0</v>
      </c>
      <c r="AM263">
        <f t="shared" si="58"/>
        <v>0</v>
      </c>
      <c r="AN263">
        <f t="shared" si="59"/>
        <v>0</v>
      </c>
    </row>
    <row r="264" spans="1:40" x14ac:dyDescent="0.3">
      <c r="A264" t="s">
        <v>87</v>
      </c>
      <c r="B264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48"/>
        <v>0</v>
      </c>
      <c r="P264">
        <f t="shared" si="49"/>
        <v>0</v>
      </c>
      <c r="Q264">
        <f t="shared" si="50"/>
        <v>0</v>
      </c>
      <c r="R264">
        <f t="shared" si="51"/>
        <v>0</v>
      </c>
      <c r="S264">
        <f t="shared" si="52"/>
        <v>0</v>
      </c>
      <c r="T264">
        <f t="shared" si="53"/>
        <v>0</v>
      </c>
      <c r="AA264">
        <v>677640.65</v>
      </c>
      <c r="AB264">
        <v>4902</v>
      </c>
      <c r="AC264">
        <v>11</v>
      </c>
      <c r="AD264">
        <v>51450.55</v>
      </c>
      <c r="AE264">
        <v>83.7</v>
      </c>
      <c r="AF264">
        <v>8.5999999999999993E-2</v>
      </c>
      <c r="AG264">
        <v>4.2</v>
      </c>
      <c r="AH264">
        <v>1</v>
      </c>
      <c r="AI264">
        <f t="shared" si="54"/>
        <v>0</v>
      </c>
      <c r="AJ264">
        <f t="shared" si="55"/>
        <v>0</v>
      </c>
      <c r="AK264">
        <f t="shared" si="56"/>
        <v>0</v>
      </c>
      <c r="AL264">
        <f t="shared" si="57"/>
        <v>0</v>
      </c>
      <c r="AM264">
        <f t="shared" si="58"/>
        <v>0</v>
      </c>
      <c r="AN264">
        <f t="shared" si="59"/>
        <v>0</v>
      </c>
    </row>
    <row r="265" spans="1:40" x14ac:dyDescent="0.3">
      <c r="A265" t="s">
        <v>87</v>
      </c>
      <c r="B265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48"/>
        <v>0</v>
      </c>
      <c r="P265">
        <f t="shared" si="49"/>
        <v>0</v>
      </c>
      <c r="Q265">
        <f t="shared" si="50"/>
        <v>0</v>
      </c>
      <c r="R265">
        <f t="shared" si="51"/>
        <v>0</v>
      </c>
      <c r="S265">
        <f t="shared" si="52"/>
        <v>0</v>
      </c>
      <c r="T265">
        <f t="shared" si="53"/>
        <v>0</v>
      </c>
      <c r="AA265">
        <v>636613.23</v>
      </c>
      <c r="AB265">
        <v>4022</v>
      </c>
      <c r="AC265">
        <v>12</v>
      </c>
      <c r="AD265">
        <v>58688.26</v>
      </c>
      <c r="AE265">
        <v>93.8</v>
      </c>
      <c r="AF265">
        <v>0.217</v>
      </c>
      <c r="AG265">
        <v>3.7</v>
      </c>
      <c r="AH265">
        <v>0</v>
      </c>
      <c r="AI265">
        <f t="shared" si="54"/>
        <v>0</v>
      </c>
      <c r="AJ265">
        <f t="shared" si="55"/>
        <v>0</v>
      </c>
      <c r="AK265">
        <f t="shared" si="56"/>
        <v>0</v>
      </c>
      <c r="AL265">
        <f t="shared" si="57"/>
        <v>0</v>
      </c>
      <c r="AM265">
        <f t="shared" si="58"/>
        <v>0</v>
      </c>
      <c r="AN265">
        <f t="shared" si="59"/>
        <v>0</v>
      </c>
    </row>
    <row r="266" spans="1:40" x14ac:dyDescent="0.3">
      <c r="A266" t="s">
        <v>88</v>
      </c>
      <c r="B266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48"/>
        <v>0</v>
      </c>
      <c r="P266">
        <f t="shared" si="49"/>
        <v>0</v>
      </c>
      <c r="Q266">
        <f t="shared" si="50"/>
        <v>0</v>
      </c>
      <c r="R266">
        <f t="shared" si="51"/>
        <v>0</v>
      </c>
      <c r="S266">
        <f t="shared" si="52"/>
        <v>0</v>
      </c>
      <c r="T266">
        <f t="shared" si="53"/>
        <v>0</v>
      </c>
      <c r="AA266">
        <v>708985.19</v>
      </c>
      <c r="AB266">
        <v>7324</v>
      </c>
      <c r="AC266">
        <v>15</v>
      </c>
      <c r="AD266">
        <v>58981.91</v>
      </c>
      <c r="AE266">
        <v>95.8</v>
      </c>
      <c r="AF266">
        <v>9.4E-2</v>
      </c>
      <c r="AG266">
        <v>3.5</v>
      </c>
      <c r="AH266">
        <v>0</v>
      </c>
      <c r="AI266">
        <f t="shared" si="54"/>
        <v>0</v>
      </c>
      <c r="AJ266">
        <f t="shared" si="55"/>
        <v>0</v>
      </c>
      <c r="AK266">
        <f t="shared" si="56"/>
        <v>0</v>
      </c>
      <c r="AL266">
        <f t="shared" si="57"/>
        <v>0</v>
      </c>
      <c r="AM266">
        <f t="shared" si="58"/>
        <v>0</v>
      </c>
      <c r="AN266">
        <f t="shared" si="59"/>
        <v>0</v>
      </c>
    </row>
    <row r="267" spans="1:40" x14ac:dyDescent="0.3">
      <c r="A267" t="s">
        <v>88</v>
      </c>
      <c r="B267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48"/>
        <v>0</v>
      </c>
      <c r="P267">
        <f t="shared" si="49"/>
        <v>0</v>
      </c>
      <c r="Q267">
        <f t="shared" si="50"/>
        <v>0</v>
      </c>
      <c r="R267">
        <f t="shared" si="51"/>
        <v>0</v>
      </c>
      <c r="S267">
        <f t="shared" si="52"/>
        <v>0</v>
      </c>
      <c r="T267">
        <f t="shared" si="53"/>
        <v>0</v>
      </c>
      <c r="AA267">
        <v>767792.94</v>
      </c>
      <c r="AB267">
        <v>8129</v>
      </c>
      <c r="AC267">
        <v>20</v>
      </c>
      <c r="AD267">
        <v>73454.539999999994</v>
      </c>
      <c r="AE267">
        <v>85.2</v>
      </c>
      <c r="AF267">
        <v>0.21099999999999999</v>
      </c>
      <c r="AG267">
        <v>3.7</v>
      </c>
      <c r="AH267">
        <v>0</v>
      </c>
      <c r="AI267">
        <f t="shared" si="54"/>
        <v>0</v>
      </c>
      <c r="AJ267">
        <f t="shared" si="55"/>
        <v>0</v>
      </c>
      <c r="AK267">
        <f t="shared" si="56"/>
        <v>0</v>
      </c>
      <c r="AL267">
        <f t="shared" si="57"/>
        <v>0</v>
      </c>
      <c r="AM267">
        <f t="shared" si="58"/>
        <v>0</v>
      </c>
      <c r="AN267">
        <f t="shared" si="59"/>
        <v>0</v>
      </c>
    </row>
    <row r="268" spans="1:40" x14ac:dyDescent="0.3">
      <c r="A268" t="s">
        <v>88</v>
      </c>
      <c r="B268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48"/>
        <v>0</v>
      </c>
      <c r="P268">
        <f t="shared" si="49"/>
        <v>0</v>
      </c>
      <c r="Q268">
        <f t="shared" si="50"/>
        <v>0</v>
      </c>
      <c r="R268">
        <f t="shared" si="51"/>
        <v>0</v>
      </c>
      <c r="S268">
        <f t="shared" si="52"/>
        <v>0</v>
      </c>
      <c r="T268">
        <f t="shared" si="53"/>
        <v>0</v>
      </c>
      <c r="AA268">
        <v>745580.51</v>
      </c>
      <c r="AB268">
        <v>7969</v>
      </c>
      <c r="AC268">
        <v>21</v>
      </c>
      <c r="AD268">
        <v>56602.39</v>
      </c>
      <c r="AE268">
        <v>88.3</v>
      </c>
      <c r="AF268">
        <v>0.17</v>
      </c>
      <c r="AG268">
        <v>3.7</v>
      </c>
      <c r="AH268">
        <v>0</v>
      </c>
      <c r="AI268">
        <f t="shared" si="54"/>
        <v>0</v>
      </c>
      <c r="AJ268">
        <f t="shared" si="55"/>
        <v>0</v>
      </c>
      <c r="AK268">
        <f t="shared" si="56"/>
        <v>0</v>
      </c>
      <c r="AL268">
        <f t="shared" si="57"/>
        <v>0</v>
      </c>
      <c r="AM268">
        <f t="shared" si="58"/>
        <v>0</v>
      </c>
      <c r="AN268">
        <f t="shared" si="59"/>
        <v>0</v>
      </c>
    </row>
    <row r="269" spans="1:40" x14ac:dyDescent="0.3">
      <c r="A269" t="s">
        <v>88</v>
      </c>
      <c r="B269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48"/>
        <v>0</v>
      </c>
      <c r="P269">
        <f t="shared" si="49"/>
        <v>0</v>
      </c>
      <c r="Q269">
        <f t="shared" si="50"/>
        <v>0</v>
      </c>
      <c r="R269">
        <f t="shared" si="51"/>
        <v>0</v>
      </c>
      <c r="S269">
        <f t="shared" si="52"/>
        <v>0</v>
      </c>
      <c r="T269">
        <f t="shared" si="53"/>
        <v>0</v>
      </c>
      <c r="AA269">
        <v>762328.31</v>
      </c>
      <c r="AB269">
        <v>7240</v>
      </c>
      <c r="AC269">
        <v>15</v>
      </c>
      <c r="AD269">
        <v>67722.289999999994</v>
      </c>
      <c r="AE269">
        <v>92.9</v>
      </c>
      <c r="AF269">
        <v>2.5999999999999999E-2</v>
      </c>
      <c r="AG269">
        <v>3.5</v>
      </c>
      <c r="AH269">
        <v>0</v>
      </c>
      <c r="AI269">
        <f t="shared" si="54"/>
        <v>0</v>
      </c>
      <c r="AJ269">
        <f t="shared" si="55"/>
        <v>0</v>
      </c>
      <c r="AK269">
        <f t="shared" si="56"/>
        <v>0</v>
      </c>
      <c r="AL269">
        <f t="shared" si="57"/>
        <v>0</v>
      </c>
      <c r="AM269">
        <f t="shared" si="58"/>
        <v>0</v>
      </c>
      <c r="AN269">
        <f t="shared" si="59"/>
        <v>0</v>
      </c>
    </row>
    <row r="270" spans="1:40" x14ac:dyDescent="0.3">
      <c r="A270" t="s">
        <v>89</v>
      </c>
      <c r="B270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48"/>
        <v>0</v>
      </c>
      <c r="P270">
        <f t="shared" si="49"/>
        <v>0</v>
      </c>
      <c r="Q270">
        <f t="shared" si="50"/>
        <v>0</v>
      </c>
      <c r="R270">
        <f t="shared" si="51"/>
        <v>0</v>
      </c>
      <c r="S270">
        <f t="shared" si="52"/>
        <v>0</v>
      </c>
      <c r="T270">
        <f t="shared" si="53"/>
        <v>0</v>
      </c>
      <c r="AA270">
        <v>660633.99</v>
      </c>
      <c r="AB270">
        <v>8052</v>
      </c>
      <c r="AC270">
        <v>16</v>
      </c>
      <c r="AD270">
        <v>48752.92</v>
      </c>
      <c r="AE270">
        <v>94.9</v>
      </c>
      <c r="AF270">
        <v>0.106</v>
      </c>
      <c r="AG270">
        <v>3.6</v>
      </c>
      <c r="AH270">
        <v>0</v>
      </c>
      <c r="AI270">
        <f t="shared" si="54"/>
        <v>0</v>
      </c>
      <c r="AJ270">
        <f t="shared" si="55"/>
        <v>0</v>
      </c>
      <c r="AK270">
        <f t="shared" si="56"/>
        <v>0</v>
      </c>
      <c r="AL270">
        <f t="shared" si="57"/>
        <v>0</v>
      </c>
      <c r="AM270">
        <f t="shared" si="58"/>
        <v>0</v>
      </c>
      <c r="AN270">
        <f t="shared" si="59"/>
        <v>0</v>
      </c>
    </row>
    <row r="271" spans="1:40" x14ac:dyDescent="0.3">
      <c r="A271" t="s">
        <v>89</v>
      </c>
      <c r="B271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48"/>
        <v>0</v>
      </c>
      <c r="P271">
        <f t="shared" si="49"/>
        <v>0</v>
      </c>
      <c r="Q271">
        <f t="shared" si="50"/>
        <v>0</v>
      </c>
      <c r="R271">
        <f t="shared" si="51"/>
        <v>0</v>
      </c>
      <c r="S271">
        <f t="shared" si="52"/>
        <v>0</v>
      </c>
      <c r="T271">
        <f t="shared" si="53"/>
        <v>0</v>
      </c>
      <c r="AA271">
        <v>739374.56</v>
      </c>
      <c r="AB271">
        <v>8018</v>
      </c>
      <c r="AC271">
        <v>20</v>
      </c>
      <c r="AD271">
        <v>23914.97</v>
      </c>
      <c r="AE271">
        <v>89</v>
      </c>
      <c r="AF271">
        <v>0.13900000000000001</v>
      </c>
      <c r="AG271">
        <v>3.5</v>
      </c>
      <c r="AH271">
        <v>0</v>
      </c>
      <c r="AI271">
        <f t="shared" si="54"/>
        <v>0</v>
      </c>
      <c r="AJ271">
        <f t="shared" si="55"/>
        <v>0</v>
      </c>
      <c r="AK271">
        <f t="shared" si="56"/>
        <v>0</v>
      </c>
      <c r="AL271">
        <f t="shared" si="57"/>
        <v>0</v>
      </c>
      <c r="AM271">
        <f t="shared" si="58"/>
        <v>0</v>
      </c>
      <c r="AN271">
        <f t="shared" si="59"/>
        <v>0</v>
      </c>
    </row>
    <row r="272" spans="1:40" x14ac:dyDescent="0.3">
      <c r="A272" t="s">
        <v>89</v>
      </c>
      <c r="B27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48"/>
        <v>0</v>
      </c>
      <c r="P272">
        <f t="shared" si="49"/>
        <v>0</v>
      </c>
      <c r="Q272">
        <f t="shared" si="50"/>
        <v>0</v>
      </c>
      <c r="R272">
        <f t="shared" si="51"/>
        <v>0</v>
      </c>
      <c r="S272">
        <f t="shared" si="52"/>
        <v>0</v>
      </c>
      <c r="T272">
        <f t="shared" si="53"/>
        <v>0</v>
      </c>
      <c r="AA272">
        <v>799756.46</v>
      </c>
      <c r="AB272">
        <v>10192</v>
      </c>
      <c r="AC272">
        <v>21</v>
      </c>
      <c r="AD272">
        <v>61995.3</v>
      </c>
      <c r="AE272">
        <v>87.6</v>
      </c>
      <c r="AF272">
        <v>0.19800000000000001</v>
      </c>
      <c r="AG272">
        <v>3.8</v>
      </c>
      <c r="AH272">
        <v>1</v>
      </c>
      <c r="AI272">
        <f t="shared" si="54"/>
        <v>0</v>
      </c>
      <c r="AJ272">
        <f t="shared" si="55"/>
        <v>0</v>
      </c>
      <c r="AK272">
        <f t="shared" si="56"/>
        <v>0</v>
      </c>
      <c r="AL272">
        <f t="shared" si="57"/>
        <v>0</v>
      </c>
      <c r="AM272">
        <f t="shared" si="58"/>
        <v>0</v>
      </c>
      <c r="AN272">
        <f t="shared" si="59"/>
        <v>0</v>
      </c>
    </row>
    <row r="273" spans="1:40" x14ac:dyDescent="0.3">
      <c r="A273" t="s">
        <v>89</v>
      </c>
      <c r="B27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48"/>
        <v>0</v>
      </c>
      <c r="P273">
        <f t="shared" si="49"/>
        <v>0</v>
      </c>
      <c r="Q273">
        <f t="shared" si="50"/>
        <v>0</v>
      </c>
      <c r="R273">
        <f t="shared" si="51"/>
        <v>0</v>
      </c>
      <c r="S273">
        <f t="shared" si="52"/>
        <v>0</v>
      </c>
      <c r="T273">
        <f t="shared" si="53"/>
        <v>0</v>
      </c>
      <c r="AA273">
        <v>593343</v>
      </c>
      <c r="AB273">
        <v>7446</v>
      </c>
      <c r="AC273">
        <v>15</v>
      </c>
      <c r="AD273">
        <v>29344.93</v>
      </c>
      <c r="AE273">
        <v>86.2</v>
      </c>
      <c r="AF273">
        <v>0.111</v>
      </c>
      <c r="AG273">
        <v>3.2</v>
      </c>
      <c r="AH273">
        <v>0</v>
      </c>
      <c r="AI273">
        <f t="shared" si="54"/>
        <v>0</v>
      </c>
      <c r="AJ273">
        <f t="shared" si="55"/>
        <v>0</v>
      </c>
      <c r="AK273">
        <f t="shared" si="56"/>
        <v>0</v>
      </c>
      <c r="AL273">
        <f t="shared" si="57"/>
        <v>0</v>
      </c>
      <c r="AM273">
        <f t="shared" si="58"/>
        <v>0</v>
      </c>
      <c r="AN273">
        <f t="shared" si="59"/>
        <v>0</v>
      </c>
    </row>
    <row r="274" spans="1:40" x14ac:dyDescent="0.3">
      <c r="A274" t="s">
        <v>90</v>
      </c>
      <c r="B274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48"/>
        <v>0</v>
      </c>
      <c r="P274">
        <f t="shared" si="49"/>
        <v>0</v>
      </c>
      <c r="Q274">
        <f t="shared" si="50"/>
        <v>0</v>
      </c>
      <c r="R274">
        <f t="shared" si="51"/>
        <v>0</v>
      </c>
      <c r="S274">
        <f t="shared" si="52"/>
        <v>0</v>
      </c>
      <c r="T274">
        <f t="shared" si="53"/>
        <v>0</v>
      </c>
      <c r="AA274">
        <v>645039.97</v>
      </c>
      <c r="AB274">
        <v>5689</v>
      </c>
      <c r="AC274">
        <v>17</v>
      </c>
      <c r="AD274">
        <v>50532.17</v>
      </c>
      <c r="AE274">
        <v>85.6</v>
      </c>
      <c r="AF274">
        <v>5.1999999999999998E-2</v>
      </c>
      <c r="AG274">
        <v>3.3</v>
      </c>
      <c r="AH274">
        <v>0</v>
      </c>
      <c r="AI274">
        <f t="shared" si="54"/>
        <v>0</v>
      </c>
      <c r="AJ274">
        <f t="shared" si="55"/>
        <v>0</v>
      </c>
      <c r="AK274">
        <f t="shared" si="56"/>
        <v>0</v>
      </c>
      <c r="AL274">
        <f t="shared" si="57"/>
        <v>0</v>
      </c>
      <c r="AM274">
        <f t="shared" si="58"/>
        <v>0</v>
      </c>
      <c r="AN274">
        <f t="shared" si="59"/>
        <v>0</v>
      </c>
    </row>
    <row r="275" spans="1:40" x14ac:dyDescent="0.3">
      <c r="A275" t="s">
        <v>90</v>
      </c>
      <c r="B275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48"/>
        <v>0</v>
      </c>
      <c r="P275">
        <f t="shared" si="49"/>
        <v>0</v>
      </c>
      <c r="Q275">
        <f t="shared" si="50"/>
        <v>0</v>
      </c>
      <c r="R275">
        <f t="shared" si="51"/>
        <v>0</v>
      </c>
      <c r="S275">
        <f t="shared" si="52"/>
        <v>0</v>
      </c>
      <c r="T275">
        <f t="shared" si="53"/>
        <v>0</v>
      </c>
      <c r="AA275">
        <v>561597.32999999996</v>
      </c>
      <c r="AB275">
        <v>3326</v>
      </c>
      <c r="AC275">
        <v>14</v>
      </c>
      <c r="AD275">
        <v>17562.57</v>
      </c>
      <c r="AE275">
        <v>88.1</v>
      </c>
      <c r="AF275">
        <v>0.153</v>
      </c>
      <c r="AG275">
        <v>3.1</v>
      </c>
      <c r="AH275">
        <v>0</v>
      </c>
      <c r="AI275">
        <f t="shared" si="54"/>
        <v>0</v>
      </c>
      <c r="AJ275">
        <f t="shared" si="55"/>
        <v>0</v>
      </c>
      <c r="AK275">
        <f t="shared" si="56"/>
        <v>0</v>
      </c>
      <c r="AL275">
        <f t="shared" si="57"/>
        <v>0</v>
      </c>
      <c r="AM275">
        <f t="shared" si="58"/>
        <v>0</v>
      </c>
      <c r="AN275">
        <f t="shared" si="59"/>
        <v>0</v>
      </c>
    </row>
    <row r="276" spans="1:40" x14ac:dyDescent="0.3">
      <c r="A276" t="s">
        <v>90</v>
      </c>
      <c r="B276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48"/>
        <v>0</v>
      </c>
      <c r="P276">
        <f t="shared" si="49"/>
        <v>0</v>
      </c>
      <c r="Q276">
        <f t="shared" si="50"/>
        <v>0</v>
      </c>
      <c r="R276">
        <f t="shared" si="51"/>
        <v>0</v>
      </c>
      <c r="S276">
        <f t="shared" si="52"/>
        <v>0</v>
      </c>
      <c r="T276">
        <f t="shared" si="53"/>
        <v>0</v>
      </c>
      <c r="AA276">
        <v>635837.74</v>
      </c>
      <c r="AB276">
        <v>5767</v>
      </c>
      <c r="AC276">
        <v>17</v>
      </c>
      <c r="AD276">
        <v>47648.71</v>
      </c>
      <c r="AE276">
        <v>89.8</v>
      </c>
      <c r="AF276">
        <v>0.14099999999999999</v>
      </c>
      <c r="AG276">
        <v>3.1</v>
      </c>
      <c r="AH276">
        <v>0</v>
      </c>
      <c r="AI276">
        <f t="shared" si="54"/>
        <v>0</v>
      </c>
      <c r="AJ276">
        <f t="shared" si="55"/>
        <v>0</v>
      </c>
      <c r="AK276">
        <f t="shared" si="56"/>
        <v>0</v>
      </c>
      <c r="AL276">
        <f t="shared" si="57"/>
        <v>0</v>
      </c>
      <c r="AM276">
        <f t="shared" si="58"/>
        <v>0</v>
      </c>
      <c r="AN276">
        <f t="shared" si="59"/>
        <v>0</v>
      </c>
    </row>
    <row r="277" spans="1:40" x14ac:dyDescent="0.3">
      <c r="A277" t="s">
        <v>90</v>
      </c>
      <c r="B277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48"/>
        <v>0</v>
      </c>
      <c r="P277">
        <f t="shared" si="49"/>
        <v>0</v>
      </c>
      <c r="Q277">
        <f t="shared" si="50"/>
        <v>0</v>
      </c>
      <c r="R277">
        <f t="shared" si="51"/>
        <v>0</v>
      </c>
      <c r="S277">
        <f t="shared" si="52"/>
        <v>0</v>
      </c>
      <c r="T277">
        <f t="shared" si="53"/>
        <v>0</v>
      </c>
      <c r="AA277">
        <v>686737.87</v>
      </c>
      <c r="AB277">
        <v>5893</v>
      </c>
      <c r="AC277">
        <v>18</v>
      </c>
      <c r="AD277">
        <v>38297.58</v>
      </c>
      <c r="AE277">
        <v>77.599999999999994</v>
      </c>
      <c r="AF277">
        <v>0.247</v>
      </c>
      <c r="AG277">
        <v>3</v>
      </c>
      <c r="AH277">
        <v>0</v>
      </c>
      <c r="AI277">
        <f t="shared" si="54"/>
        <v>0</v>
      </c>
      <c r="AJ277">
        <f t="shared" si="55"/>
        <v>0</v>
      </c>
      <c r="AK277">
        <f t="shared" si="56"/>
        <v>0</v>
      </c>
      <c r="AL277">
        <f t="shared" si="57"/>
        <v>0</v>
      </c>
      <c r="AM277">
        <f t="shared" si="58"/>
        <v>0</v>
      </c>
      <c r="AN277">
        <f t="shared" si="59"/>
        <v>0</v>
      </c>
    </row>
    <row r="278" spans="1:40" x14ac:dyDescent="0.3">
      <c r="A278" t="s">
        <v>91</v>
      </c>
      <c r="B278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48"/>
        <v>0</v>
      </c>
      <c r="P278">
        <f t="shared" si="49"/>
        <v>0</v>
      </c>
      <c r="Q278">
        <f t="shared" si="50"/>
        <v>0</v>
      </c>
      <c r="R278">
        <f t="shared" si="51"/>
        <v>0</v>
      </c>
      <c r="S278">
        <f t="shared" si="52"/>
        <v>0</v>
      </c>
      <c r="T278">
        <f t="shared" si="53"/>
        <v>0</v>
      </c>
      <c r="AA278">
        <v>673076.34</v>
      </c>
      <c r="AB278">
        <v>8564</v>
      </c>
      <c r="AC278">
        <v>17</v>
      </c>
      <c r="AD278">
        <v>61784.11</v>
      </c>
      <c r="AE278">
        <v>87.4</v>
      </c>
      <c r="AF278">
        <v>0.13</v>
      </c>
      <c r="AG278">
        <v>3.4</v>
      </c>
      <c r="AH278">
        <v>1</v>
      </c>
      <c r="AI278">
        <f t="shared" si="54"/>
        <v>0</v>
      </c>
      <c r="AJ278">
        <f t="shared" si="55"/>
        <v>0</v>
      </c>
      <c r="AK278">
        <f t="shared" si="56"/>
        <v>0</v>
      </c>
      <c r="AL278">
        <f t="shared" si="57"/>
        <v>0</v>
      </c>
      <c r="AM278">
        <f t="shared" si="58"/>
        <v>0</v>
      </c>
      <c r="AN278">
        <f t="shared" si="59"/>
        <v>0</v>
      </c>
    </row>
    <row r="279" spans="1:40" x14ac:dyDescent="0.3">
      <c r="A279" t="s">
        <v>91</v>
      </c>
      <c r="B279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48"/>
        <v>0</v>
      </c>
      <c r="P279">
        <f t="shared" si="49"/>
        <v>0</v>
      </c>
      <c r="Q279">
        <f t="shared" si="50"/>
        <v>0</v>
      </c>
      <c r="R279">
        <f t="shared" si="51"/>
        <v>0</v>
      </c>
      <c r="S279">
        <f t="shared" si="52"/>
        <v>0</v>
      </c>
      <c r="T279">
        <f t="shared" si="53"/>
        <v>0</v>
      </c>
      <c r="AA279">
        <v>738548.42</v>
      </c>
      <c r="AB279">
        <v>8001</v>
      </c>
      <c r="AC279">
        <v>19</v>
      </c>
      <c r="AD279">
        <v>36832.33</v>
      </c>
      <c r="AE279">
        <v>88.7</v>
      </c>
      <c r="AF279">
        <v>0</v>
      </c>
      <c r="AG279">
        <v>4</v>
      </c>
      <c r="AH279">
        <v>0</v>
      </c>
      <c r="AI279">
        <f t="shared" si="54"/>
        <v>0</v>
      </c>
      <c r="AJ279">
        <f t="shared" si="55"/>
        <v>0</v>
      </c>
      <c r="AK279">
        <f t="shared" si="56"/>
        <v>0</v>
      </c>
      <c r="AL279">
        <f t="shared" si="57"/>
        <v>0</v>
      </c>
      <c r="AM279">
        <f t="shared" si="58"/>
        <v>0</v>
      </c>
      <c r="AN279">
        <f t="shared" si="59"/>
        <v>0</v>
      </c>
    </row>
    <row r="280" spans="1:40" x14ac:dyDescent="0.3">
      <c r="A280" t="s">
        <v>91</v>
      </c>
      <c r="B280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48"/>
        <v>0</v>
      </c>
      <c r="P280">
        <f t="shared" si="49"/>
        <v>0</v>
      </c>
      <c r="Q280">
        <f t="shared" si="50"/>
        <v>0</v>
      </c>
      <c r="R280">
        <f t="shared" si="51"/>
        <v>0</v>
      </c>
      <c r="S280">
        <f t="shared" si="52"/>
        <v>0</v>
      </c>
      <c r="T280">
        <f t="shared" si="53"/>
        <v>0</v>
      </c>
      <c r="AA280">
        <v>756619.77</v>
      </c>
      <c r="AB280">
        <v>9324</v>
      </c>
      <c r="AC280">
        <v>18</v>
      </c>
      <c r="AD280">
        <v>48609.41</v>
      </c>
      <c r="AE280">
        <v>86.5</v>
      </c>
      <c r="AF280">
        <v>0.21299999999999999</v>
      </c>
      <c r="AG280">
        <v>3.9</v>
      </c>
      <c r="AH280">
        <v>0</v>
      </c>
      <c r="AI280">
        <f t="shared" si="54"/>
        <v>0</v>
      </c>
      <c r="AJ280">
        <f t="shared" si="55"/>
        <v>0</v>
      </c>
      <c r="AK280">
        <f t="shared" si="56"/>
        <v>0</v>
      </c>
      <c r="AL280">
        <f t="shared" si="57"/>
        <v>0</v>
      </c>
      <c r="AM280">
        <f t="shared" si="58"/>
        <v>0</v>
      </c>
      <c r="AN280">
        <f t="shared" si="59"/>
        <v>0</v>
      </c>
    </row>
    <row r="281" spans="1:40" x14ac:dyDescent="0.3">
      <c r="A281" t="s">
        <v>91</v>
      </c>
      <c r="B281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48"/>
        <v>0</v>
      </c>
      <c r="P281">
        <f t="shared" si="49"/>
        <v>0</v>
      </c>
      <c r="Q281">
        <f t="shared" si="50"/>
        <v>0</v>
      </c>
      <c r="R281">
        <f t="shared" si="51"/>
        <v>0</v>
      </c>
      <c r="S281">
        <f t="shared" si="52"/>
        <v>0</v>
      </c>
      <c r="T281">
        <f t="shared" si="53"/>
        <v>0</v>
      </c>
      <c r="AA281">
        <v>761122.42</v>
      </c>
      <c r="AB281">
        <v>9109</v>
      </c>
      <c r="AC281">
        <v>23</v>
      </c>
      <c r="AD281">
        <v>70284.06</v>
      </c>
      <c r="AE281">
        <v>87</v>
      </c>
      <c r="AF281">
        <v>4.0000000000000001E-3</v>
      </c>
      <c r="AG281">
        <v>3.7</v>
      </c>
      <c r="AH281">
        <v>0</v>
      </c>
      <c r="AI281">
        <f t="shared" si="54"/>
        <v>0</v>
      </c>
      <c r="AJ281">
        <f t="shared" si="55"/>
        <v>0</v>
      </c>
      <c r="AK281">
        <f t="shared" si="56"/>
        <v>0</v>
      </c>
      <c r="AL281">
        <f t="shared" si="57"/>
        <v>0</v>
      </c>
      <c r="AM281">
        <f t="shared" si="58"/>
        <v>0</v>
      </c>
      <c r="AN281">
        <f t="shared" si="59"/>
        <v>0</v>
      </c>
    </row>
    <row r="282" spans="1:40" x14ac:dyDescent="0.3">
      <c r="A282" t="s">
        <v>92</v>
      </c>
      <c r="B28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48"/>
        <v>0</v>
      </c>
      <c r="P282">
        <f t="shared" si="49"/>
        <v>0</v>
      </c>
      <c r="Q282">
        <f t="shared" si="50"/>
        <v>0</v>
      </c>
      <c r="R282">
        <f t="shared" si="51"/>
        <v>0</v>
      </c>
      <c r="S282">
        <f t="shared" si="52"/>
        <v>0</v>
      </c>
      <c r="T282">
        <f t="shared" si="53"/>
        <v>0</v>
      </c>
      <c r="AA282">
        <v>524899.56999999995</v>
      </c>
      <c r="AB282">
        <v>4022</v>
      </c>
      <c r="AC282">
        <v>10</v>
      </c>
      <c r="AD282">
        <v>45940.39</v>
      </c>
      <c r="AE282">
        <v>83</v>
      </c>
      <c r="AF282">
        <v>6.9000000000000006E-2</v>
      </c>
      <c r="AG282">
        <v>3.8</v>
      </c>
      <c r="AH282">
        <v>1</v>
      </c>
      <c r="AI282">
        <f t="shared" si="54"/>
        <v>0</v>
      </c>
      <c r="AJ282">
        <f t="shared" si="55"/>
        <v>0</v>
      </c>
      <c r="AK282">
        <f t="shared" si="56"/>
        <v>0</v>
      </c>
      <c r="AL282">
        <f t="shared" si="57"/>
        <v>0</v>
      </c>
      <c r="AM282">
        <f t="shared" si="58"/>
        <v>0</v>
      </c>
      <c r="AN282">
        <f t="shared" si="59"/>
        <v>0</v>
      </c>
    </row>
    <row r="283" spans="1:40" x14ac:dyDescent="0.3">
      <c r="A283" t="s">
        <v>92</v>
      </c>
      <c r="B28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48"/>
        <v>0</v>
      </c>
      <c r="P283">
        <f t="shared" si="49"/>
        <v>0</v>
      </c>
      <c r="Q283">
        <f t="shared" si="50"/>
        <v>0</v>
      </c>
      <c r="R283">
        <f t="shared" si="51"/>
        <v>0</v>
      </c>
      <c r="S283">
        <f t="shared" si="52"/>
        <v>0</v>
      </c>
      <c r="T283">
        <f t="shared" si="53"/>
        <v>0</v>
      </c>
      <c r="AA283">
        <v>555557.77</v>
      </c>
      <c r="AB283">
        <v>4355</v>
      </c>
      <c r="AC283">
        <v>15</v>
      </c>
      <c r="AD283">
        <v>34771.26</v>
      </c>
      <c r="AE283">
        <v>87.9</v>
      </c>
      <c r="AF283">
        <v>5.0999999999999997E-2</v>
      </c>
      <c r="AG283">
        <v>4</v>
      </c>
      <c r="AH283">
        <v>0</v>
      </c>
      <c r="AI283">
        <f t="shared" si="54"/>
        <v>0</v>
      </c>
      <c r="AJ283">
        <f t="shared" si="55"/>
        <v>0</v>
      </c>
      <c r="AK283">
        <f t="shared" si="56"/>
        <v>0</v>
      </c>
      <c r="AL283">
        <f t="shared" si="57"/>
        <v>0</v>
      </c>
      <c r="AM283">
        <f t="shared" si="58"/>
        <v>0</v>
      </c>
      <c r="AN283">
        <f t="shared" si="59"/>
        <v>0</v>
      </c>
    </row>
    <row r="284" spans="1:40" x14ac:dyDescent="0.3">
      <c r="A284" t="s">
        <v>92</v>
      </c>
      <c r="B284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48"/>
        <v>0</v>
      </c>
      <c r="P284">
        <f t="shared" si="49"/>
        <v>0</v>
      </c>
      <c r="Q284">
        <f t="shared" si="50"/>
        <v>0</v>
      </c>
      <c r="R284">
        <f t="shared" si="51"/>
        <v>0</v>
      </c>
      <c r="S284">
        <f t="shared" si="52"/>
        <v>0</v>
      </c>
      <c r="T284">
        <f t="shared" si="53"/>
        <v>0</v>
      </c>
      <c r="AA284">
        <v>714083.68</v>
      </c>
      <c r="AB284">
        <v>5745</v>
      </c>
      <c r="AC284">
        <v>17</v>
      </c>
      <c r="AD284">
        <v>66104.19</v>
      </c>
      <c r="AE284">
        <v>95.8</v>
      </c>
      <c r="AF284">
        <v>7.0000000000000007E-2</v>
      </c>
      <c r="AG284">
        <v>4</v>
      </c>
      <c r="AH284">
        <v>0</v>
      </c>
      <c r="AI284">
        <f t="shared" si="54"/>
        <v>0</v>
      </c>
      <c r="AJ284">
        <f t="shared" si="55"/>
        <v>0</v>
      </c>
      <c r="AK284">
        <f t="shared" si="56"/>
        <v>0</v>
      </c>
      <c r="AL284">
        <f t="shared" si="57"/>
        <v>0</v>
      </c>
      <c r="AM284">
        <f t="shared" si="58"/>
        <v>0</v>
      </c>
      <c r="AN284">
        <f t="shared" si="59"/>
        <v>0</v>
      </c>
    </row>
    <row r="285" spans="1:40" x14ac:dyDescent="0.3">
      <c r="A285" t="s">
        <v>92</v>
      </c>
      <c r="B285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48"/>
        <v>0</v>
      </c>
      <c r="P285">
        <f t="shared" si="49"/>
        <v>0</v>
      </c>
      <c r="Q285">
        <f t="shared" si="50"/>
        <v>0</v>
      </c>
      <c r="R285">
        <f t="shared" si="51"/>
        <v>0</v>
      </c>
      <c r="S285">
        <f t="shared" si="52"/>
        <v>0</v>
      </c>
      <c r="T285">
        <f t="shared" si="53"/>
        <v>0</v>
      </c>
      <c r="AA285">
        <v>497439.82</v>
      </c>
      <c r="AB285">
        <v>3027</v>
      </c>
      <c r="AC285">
        <v>11</v>
      </c>
      <c r="AD285">
        <v>18599.21</v>
      </c>
      <c r="AE285">
        <v>80.900000000000006</v>
      </c>
      <c r="AF285">
        <v>0.122</v>
      </c>
      <c r="AG285">
        <v>4.2</v>
      </c>
      <c r="AH285">
        <v>0</v>
      </c>
      <c r="AI285">
        <f t="shared" si="54"/>
        <v>0</v>
      </c>
      <c r="AJ285">
        <f t="shared" si="55"/>
        <v>0</v>
      </c>
      <c r="AK285">
        <f t="shared" si="56"/>
        <v>0</v>
      </c>
      <c r="AL285">
        <f t="shared" si="57"/>
        <v>0</v>
      </c>
      <c r="AM285">
        <f t="shared" si="58"/>
        <v>0</v>
      </c>
      <c r="AN285">
        <f t="shared" si="59"/>
        <v>0</v>
      </c>
    </row>
    <row r="286" spans="1:40" x14ac:dyDescent="0.3">
      <c r="A286" t="s">
        <v>93</v>
      </c>
      <c r="B286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48"/>
        <v>0</v>
      </c>
      <c r="P286">
        <f t="shared" si="49"/>
        <v>0</v>
      </c>
      <c r="Q286">
        <f t="shared" si="50"/>
        <v>0</v>
      </c>
      <c r="R286">
        <f t="shared" si="51"/>
        <v>0</v>
      </c>
      <c r="S286">
        <f t="shared" si="52"/>
        <v>0</v>
      </c>
      <c r="T286">
        <f t="shared" si="53"/>
        <v>0</v>
      </c>
      <c r="AA286">
        <v>636775.66</v>
      </c>
      <c r="AB286">
        <v>5562</v>
      </c>
      <c r="AC286">
        <v>13</v>
      </c>
      <c r="AD286">
        <v>60183.06</v>
      </c>
      <c r="AE286">
        <v>86.3</v>
      </c>
      <c r="AF286">
        <v>8.9999999999999993E-3</v>
      </c>
      <c r="AG286">
        <v>4.5</v>
      </c>
      <c r="AH286">
        <v>1</v>
      </c>
      <c r="AI286">
        <f t="shared" si="54"/>
        <v>0</v>
      </c>
      <c r="AJ286">
        <f t="shared" si="55"/>
        <v>0</v>
      </c>
      <c r="AK286">
        <f t="shared" si="56"/>
        <v>0</v>
      </c>
      <c r="AL286">
        <f t="shared" si="57"/>
        <v>0</v>
      </c>
      <c r="AM286">
        <f t="shared" si="58"/>
        <v>0</v>
      </c>
      <c r="AN286">
        <f t="shared" si="59"/>
        <v>0</v>
      </c>
    </row>
    <row r="287" spans="1:40" x14ac:dyDescent="0.3">
      <c r="A287" t="s">
        <v>93</v>
      </c>
      <c r="B287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48"/>
        <v>0</v>
      </c>
      <c r="P287">
        <f t="shared" si="49"/>
        <v>0</v>
      </c>
      <c r="Q287">
        <f t="shared" si="50"/>
        <v>0</v>
      </c>
      <c r="R287">
        <f t="shared" si="51"/>
        <v>0</v>
      </c>
      <c r="S287">
        <f t="shared" si="52"/>
        <v>0</v>
      </c>
      <c r="T287">
        <f t="shared" si="53"/>
        <v>0</v>
      </c>
      <c r="AA287">
        <v>633009.53</v>
      </c>
      <c r="AB287">
        <v>4487</v>
      </c>
      <c r="AC287">
        <v>10</v>
      </c>
      <c r="AD287">
        <v>74539.14</v>
      </c>
      <c r="AE287">
        <v>90.4</v>
      </c>
      <c r="AF287">
        <v>0.14000000000000001</v>
      </c>
      <c r="AG287">
        <v>4.5</v>
      </c>
      <c r="AH287">
        <v>0</v>
      </c>
      <c r="AI287">
        <f t="shared" si="54"/>
        <v>0</v>
      </c>
      <c r="AJ287">
        <f t="shared" si="55"/>
        <v>0</v>
      </c>
      <c r="AK287">
        <f t="shared" si="56"/>
        <v>0</v>
      </c>
      <c r="AL287">
        <f t="shared" si="57"/>
        <v>0</v>
      </c>
      <c r="AM287">
        <f t="shared" si="58"/>
        <v>0</v>
      </c>
      <c r="AN287">
        <f t="shared" si="59"/>
        <v>0</v>
      </c>
    </row>
    <row r="288" spans="1:40" x14ac:dyDescent="0.3">
      <c r="A288" t="s">
        <v>93</v>
      </c>
      <c r="B288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48"/>
        <v>0</v>
      </c>
      <c r="P288">
        <f t="shared" si="49"/>
        <v>0</v>
      </c>
      <c r="Q288">
        <f t="shared" si="50"/>
        <v>0</v>
      </c>
      <c r="R288">
        <f t="shared" si="51"/>
        <v>0</v>
      </c>
      <c r="S288">
        <f t="shared" si="52"/>
        <v>0</v>
      </c>
      <c r="T288">
        <f t="shared" si="53"/>
        <v>0</v>
      </c>
      <c r="AA288">
        <v>609949</v>
      </c>
      <c r="AB288">
        <v>4162</v>
      </c>
      <c r="AC288">
        <v>11</v>
      </c>
      <c r="AD288">
        <v>55371.97</v>
      </c>
      <c r="AE288">
        <v>92</v>
      </c>
      <c r="AF288">
        <v>0.183</v>
      </c>
      <c r="AG288">
        <v>4.2</v>
      </c>
      <c r="AH288">
        <v>1</v>
      </c>
      <c r="AI288">
        <f t="shared" si="54"/>
        <v>0</v>
      </c>
      <c r="AJ288">
        <f t="shared" si="55"/>
        <v>0</v>
      </c>
      <c r="AK288">
        <f t="shared" si="56"/>
        <v>0</v>
      </c>
      <c r="AL288">
        <f t="shared" si="57"/>
        <v>0</v>
      </c>
      <c r="AM288">
        <f t="shared" si="58"/>
        <v>0</v>
      </c>
      <c r="AN288">
        <f t="shared" si="59"/>
        <v>0</v>
      </c>
    </row>
    <row r="289" spans="1:40" x14ac:dyDescent="0.3">
      <c r="A289" t="s">
        <v>93</v>
      </c>
      <c r="B289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48"/>
        <v>0</v>
      </c>
      <c r="P289">
        <f t="shared" si="49"/>
        <v>0</v>
      </c>
      <c r="Q289">
        <f t="shared" si="50"/>
        <v>0</v>
      </c>
      <c r="R289">
        <f t="shared" si="51"/>
        <v>0</v>
      </c>
      <c r="S289">
        <f t="shared" si="52"/>
        <v>0</v>
      </c>
      <c r="T289">
        <f t="shared" si="53"/>
        <v>0</v>
      </c>
      <c r="AA289">
        <v>548103.69999999995</v>
      </c>
      <c r="AB289">
        <v>4094</v>
      </c>
      <c r="AC289">
        <v>13</v>
      </c>
      <c r="AD289">
        <v>40928.69</v>
      </c>
      <c r="AE289">
        <v>82.4</v>
      </c>
      <c r="AF289">
        <v>0.17399999999999999</v>
      </c>
      <c r="AG289">
        <v>4.8</v>
      </c>
      <c r="AH289">
        <v>0</v>
      </c>
      <c r="AI289">
        <f t="shared" si="54"/>
        <v>0</v>
      </c>
      <c r="AJ289">
        <f t="shared" si="55"/>
        <v>0</v>
      </c>
      <c r="AK289">
        <f t="shared" si="56"/>
        <v>0</v>
      </c>
      <c r="AL289">
        <f t="shared" si="57"/>
        <v>0</v>
      </c>
      <c r="AM289">
        <f t="shared" si="58"/>
        <v>0</v>
      </c>
      <c r="AN289">
        <f t="shared" si="59"/>
        <v>0</v>
      </c>
    </row>
    <row r="290" spans="1:40" x14ac:dyDescent="0.3">
      <c r="A290" t="s">
        <v>94</v>
      </c>
      <c r="B290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48"/>
        <v>0</v>
      </c>
      <c r="P290">
        <f t="shared" si="49"/>
        <v>0</v>
      </c>
      <c r="Q290">
        <f t="shared" si="50"/>
        <v>0</v>
      </c>
      <c r="R290">
        <f t="shared" si="51"/>
        <v>0</v>
      </c>
      <c r="S290">
        <f t="shared" si="52"/>
        <v>0</v>
      </c>
      <c r="T290">
        <f t="shared" si="53"/>
        <v>0</v>
      </c>
      <c r="AA290">
        <v>729424.42</v>
      </c>
      <c r="AB290">
        <v>8484</v>
      </c>
      <c r="AC290">
        <v>23</v>
      </c>
      <c r="AD290">
        <v>70012.41</v>
      </c>
      <c r="AE290">
        <v>72.900000000000006</v>
      </c>
      <c r="AF290">
        <v>0.27300000000000002</v>
      </c>
      <c r="AG290">
        <v>3.7</v>
      </c>
      <c r="AH290">
        <v>0</v>
      </c>
      <c r="AI290">
        <f t="shared" si="54"/>
        <v>0</v>
      </c>
      <c r="AJ290">
        <f t="shared" si="55"/>
        <v>0</v>
      </c>
      <c r="AK290">
        <f t="shared" si="56"/>
        <v>0</v>
      </c>
      <c r="AL290">
        <f t="shared" si="57"/>
        <v>0</v>
      </c>
      <c r="AM290">
        <f t="shared" si="58"/>
        <v>0</v>
      </c>
      <c r="AN290">
        <f t="shared" si="59"/>
        <v>0</v>
      </c>
    </row>
    <row r="291" spans="1:40" x14ac:dyDescent="0.3">
      <c r="A291" t="s">
        <v>94</v>
      </c>
      <c r="B291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48"/>
        <v>0</v>
      </c>
      <c r="P291">
        <f t="shared" si="49"/>
        <v>0</v>
      </c>
      <c r="Q291">
        <f t="shared" si="50"/>
        <v>0</v>
      </c>
      <c r="R291">
        <f t="shared" si="51"/>
        <v>0</v>
      </c>
      <c r="S291">
        <f t="shared" si="52"/>
        <v>0</v>
      </c>
      <c r="T291">
        <f t="shared" si="53"/>
        <v>0</v>
      </c>
      <c r="AA291">
        <v>696261.49</v>
      </c>
      <c r="AB291">
        <v>7794</v>
      </c>
      <c r="AC291">
        <v>22</v>
      </c>
      <c r="AD291">
        <v>68909.259999999995</v>
      </c>
      <c r="AE291">
        <v>89</v>
      </c>
      <c r="AF291">
        <v>0.28399999999999997</v>
      </c>
      <c r="AG291">
        <v>4</v>
      </c>
      <c r="AH291">
        <v>0</v>
      </c>
      <c r="AI291">
        <f t="shared" si="54"/>
        <v>0</v>
      </c>
      <c r="AJ291">
        <f t="shared" si="55"/>
        <v>0</v>
      </c>
      <c r="AK291">
        <f t="shared" si="56"/>
        <v>0</v>
      </c>
      <c r="AL291">
        <f t="shared" si="57"/>
        <v>0</v>
      </c>
      <c r="AM291">
        <f t="shared" si="58"/>
        <v>0</v>
      </c>
      <c r="AN291">
        <f t="shared" si="59"/>
        <v>0</v>
      </c>
    </row>
    <row r="292" spans="1:40" x14ac:dyDescent="0.3">
      <c r="A292" t="s">
        <v>94</v>
      </c>
      <c r="B29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48"/>
        <v>0</v>
      </c>
      <c r="P292">
        <f t="shared" si="49"/>
        <v>0</v>
      </c>
      <c r="Q292">
        <f t="shared" si="50"/>
        <v>0</v>
      </c>
      <c r="R292">
        <f t="shared" si="51"/>
        <v>0</v>
      </c>
      <c r="S292">
        <f t="shared" si="52"/>
        <v>0</v>
      </c>
      <c r="T292">
        <f t="shared" si="53"/>
        <v>0</v>
      </c>
      <c r="AA292">
        <v>813316.71</v>
      </c>
      <c r="AB292">
        <v>8300</v>
      </c>
      <c r="AC292">
        <v>21</v>
      </c>
      <c r="AD292">
        <v>56737.3</v>
      </c>
      <c r="AE292">
        <v>83.2</v>
      </c>
      <c r="AF292">
        <v>3.2000000000000001E-2</v>
      </c>
      <c r="AG292">
        <v>4.3</v>
      </c>
      <c r="AH292">
        <v>1</v>
      </c>
      <c r="AI292">
        <f t="shared" si="54"/>
        <v>0</v>
      </c>
      <c r="AJ292">
        <f t="shared" si="55"/>
        <v>0</v>
      </c>
      <c r="AK292">
        <f t="shared" si="56"/>
        <v>0</v>
      </c>
      <c r="AL292">
        <f t="shared" si="57"/>
        <v>0</v>
      </c>
      <c r="AM292">
        <f t="shared" si="58"/>
        <v>0</v>
      </c>
      <c r="AN292">
        <f t="shared" si="59"/>
        <v>0</v>
      </c>
    </row>
    <row r="293" spans="1:40" x14ac:dyDescent="0.3">
      <c r="A293" t="s">
        <v>94</v>
      </c>
      <c r="B29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48"/>
        <v>0</v>
      </c>
      <c r="P293">
        <f t="shared" si="49"/>
        <v>0</v>
      </c>
      <c r="Q293">
        <f t="shared" si="50"/>
        <v>0</v>
      </c>
      <c r="R293">
        <f t="shared" si="51"/>
        <v>0</v>
      </c>
      <c r="S293">
        <f t="shared" si="52"/>
        <v>0</v>
      </c>
      <c r="T293">
        <f t="shared" si="53"/>
        <v>0</v>
      </c>
      <c r="AA293">
        <v>702068.92</v>
      </c>
      <c r="AB293">
        <v>7083</v>
      </c>
      <c r="AC293">
        <v>15</v>
      </c>
      <c r="AD293">
        <v>54080.91</v>
      </c>
      <c r="AE293">
        <v>97</v>
      </c>
      <c r="AF293">
        <v>0</v>
      </c>
      <c r="AG293">
        <v>4.0999999999999996</v>
      </c>
      <c r="AH293">
        <v>0</v>
      </c>
      <c r="AI293">
        <f t="shared" si="54"/>
        <v>0</v>
      </c>
      <c r="AJ293">
        <f t="shared" si="55"/>
        <v>0</v>
      </c>
      <c r="AK293">
        <f t="shared" si="56"/>
        <v>0</v>
      </c>
      <c r="AL293">
        <f t="shared" si="57"/>
        <v>0</v>
      </c>
      <c r="AM293">
        <f t="shared" si="58"/>
        <v>0</v>
      </c>
      <c r="AN293">
        <f t="shared" si="59"/>
        <v>0</v>
      </c>
    </row>
    <row r="294" spans="1:40" x14ac:dyDescent="0.3">
      <c r="A294" t="s">
        <v>95</v>
      </c>
      <c r="B294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48"/>
        <v>0</v>
      </c>
      <c r="P294">
        <f t="shared" si="49"/>
        <v>0</v>
      </c>
      <c r="Q294">
        <f t="shared" si="50"/>
        <v>0</v>
      </c>
      <c r="R294">
        <f t="shared" si="51"/>
        <v>0</v>
      </c>
      <c r="S294">
        <f t="shared" si="52"/>
        <v>0</v>
      </c>
      <c r="T294">
        <f t="shared" si="53"/>
        <v>0</v>
      </c>
      <c r="AA294">
        <v>546223.69999999995</v>
      </c>
      <c r="AB294">
        <v>3834</v>
      </c>
      <c r="AC294">
        <v>8</v>
      </c>
      <c r="AD294">
        <v>51996.32</v>
      </c>
      <c r="AE294">
        <v>86.7</v>
      </c>
      <c r="AF294">
        <v>9.6000000000000002E-2</v>
      </c>
      <c r="AG294">
        <v>4.5</v>
      </c>
      <c r="AH294">
        <v>0</v>
      </c>
      <c r="AI294">
        <f t="shared" si="54"/>
        <v>0</v>
      </c>
      <c r="AJ294">
        <f t="shared" si="55"/>
        <v>0</v>
      </c>
      <c r="AK294">
        <f t="shared" si="56"/>
        <v>0</v>
      </c>
      <c r="AL294">
        <f t="shared" si="57"/>
        <v>0</v>
      </c>
      <c r="AM294">
        <f t="shared" si="58"/>
        <v>0</v>
      </c>
      <c r="AN294">
        <f t="shared" si="59"/>
        <v>0</v>
      </c>
    </row>
    <row r="295" spans="1:40" x14ac:dyDescent="0.3">
      <c r="A295" t="s">
        <v>95</v>
      </c>
      <c r="B295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48"/>
        <v>0</v>
      </c>
      <c r="P295">
        <f t="shared" si="49"/>
        <v>0</v>
      </c>
      <c r="Q295">
        <f t="shared" si="50"/>
        <v>0</v>
      </c>
      <c r="R295">
        <f t="shared" si="51"/>
        <v>0</v>
      </c>
      <c r="S295">
        <f t="shared" si="52"/>
        <v>0</v>
      </c>
      <c r="T295">
        <f t="shared" si="53"/>
        <v>0</v>
      </c>
      <c r="AA295">
        <v>533121.26</v>
      </c>
      <c r="AB295">
        <v>2358</v>
      </c>
      <c r="AC295">
        <v>9</v>
      </c>
      <c r="AD295">
        <v>40102.879999999997</v>
      </c>
      <c r="AE295">
        <v>88.7</v>
      </c>
      <c r="AF295">
        <v>0.11899999999999999</v>
      </c>
      <c r="AG295">
        <v>4.2</v>
      </c>
      <c r="AH295">
        <v>0</v>
      </c>
      <c r="AI295">
        <f t="shared" si="54"/>
        <v>0</v>
      </c>
      <c r="AJ295">
        <f t="shared" si="55"/>
        <v>0</v>
      </c>
      <c r="AK295">
        <f t="shared" si="56"/>
        <v>0</v>
      </c>
      <c r="AL295">
        <f t="shared" si="57"/>
        <v>0</v>
      </c>
      <c r="AM295">
        <f t="shared" si="58"/>
        <v>0</v>
      </c>
      <c r="AN295">
        <f t="shared" si="59"/>
        <v>0</v>
      </c>
    </row>
    <row r="296" spans="1:40" x14ac:dyDescent="0.3">
      <c r="A296" t="s">
        <v>95</v>
      </c>
      <c r="B296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48"/>
        <v>0</v>
      </c>
      <c r="P296">
        <f t="shared" si="49"/>
        <v>0</v>
      </c>
      <c r="Q296">
        <f t="shared" si="50"/>
        <v>0</v>
      </c>
      <c r="R296">
        <f t="shared" si="51"/>
        <v>0</v>
      </c>
      <c r="S296">
        <f t="shared" si="52"/>
        <v>0</v>
      </c>
      <c r="T296">
        <f t="shared" si="53"/>
        <v>0</v>
      </c>
      <c r="AA296">
        <v>498970.32</v>
      </c>
      <c r="AB296">
        <v>1231</v>
      </c>
      <c r="AC296">
        <v>10</v>
      </c>
      <c r="AD296">
        <v>59825.51</v>
      </c>
      <c r="AE296">
        <v>84.8</v>
      </c>
      <c r="AF296">
        <v>0.214</v>
      </c>
      <c r="AG296">
        <v>4.7</v>
      </c>
      <c r="AH296">
        <v>0</v>
      </c>
      <c r="AI296">
        <f t="shared" si="54"/>
        <v>0</v>
      </c>
      <c r="AJ296">
        <f t="shared" si="55"/>
        <v>0</v>
      </c>
      <c r="AK296">
        <f t="shared" si="56"/>
        <v>0</v>
      </c>
      <c r="AL296">
        <f t="shared" si="57"/>
        <v>0</v>
      </c>
      <c r="AM296">
        <f t="shared" si="58"/>
        <v>0</v>
      </c>
      <c r="AN296">
        <f t="shared" si="59"/>
        <v>0</v>
      </c>
    </row>
    <row r="297" spans="1:40" x14ac:dyDescent="0.3">
      <c r="A297" t="s">
        <v>95</v>
      </c>
      <c r="B297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48"/>
        <v>0</v>
      </c>
      <c r="P297">
        <f t="shared" si="49"/>
        <v>0</v>
      </c>
      <c r="Q297">
        <f t="shared" si="50"/>
        <v>0</v>
      </c>
      <c r="R297">
        <f t="shared" si="51"/>
        <v>0</v>
      </c>
      <c r="S297">
        <f t="shared" si="52"/>
        <v>0</v>
      </c>
      <c r="T297">
        <f t="shared" si="53"/>
        <v>0</v>
      </c>
      <c r="AA297">
        <v>487738.26</v>
      </c>
      <c r="AB297">
        <v>1723</v>
      </c>
      <c r="AC297">
        <v>9</v>
      </c>
      <c r="AD297">
        <v>27398.28</v>
      </c>
      <c r="AE297">
        <v>81</v>
      </c>
      <c r="AF297">
        <v>0.17100000000000001</v>
      </c>
      <c r="AG297">
        <v>4.5999999999999996</v>
      </c>
      <c r="AH297">
        <v>0</v>
      </c>
      <c r="AI297">
        <f t="shared" si="54"/>
        <v>0</v>
      </c>
      <c r="AJ297">
        <f t="shared" si="55"/>
        <v>0</v>
      </c>
      <c r="AK297">
        <f t="shared" si="56"/>
        <v>0</v>
      </c>
      <c r="AL297">
        <f t="shared" si="57"/>
        <v>0</v>
      </c>
      <c r="AM297">
        <f t="shared" si="58"/>
        <v>0</v>
      </c>
      <c r="AN297">
        <f t="shared" si="59"/>
        <v>0</v>
      </c>
    </row>
    <row r="298" spans="1:40" x14ac:dyDescent="0.3">
      <c r="A298" t="s">
        <v>96</v>
      </c>
      <c r="B298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48"/>
        <v>0</v>
      </c>
      <c r="P298">
        <f t="shared" si="49"/>
        <v>0</v>
      </c>
      <c r="Q298">
        <f t="shared" si="50"/>
        <v>0</v>
      </c>
      <c r="R298">
        <f t="shared" si="51"/>
        <v>0</v>
      </c>
      <c r="S298">
        <f t="shared" si="52"/>
        <v>0</v>
      </c>
      <c r="T298">
        <f t="shared" si="53"/>
        <v>0</v>
      </c>
      <c r="AA298">
        <v>668459.37</v>
      </c>
      <c r="AB298">
        <v>5896</v>
      </c>
      <c r="AC298">
        <v>12</v>
      </c>
      <c r="AD298">
        <v>55599.56</v>
      </c>
      <c r="AE298">
        <v>93.1</v>
      </c>
      <c r="AF298">
        <v>3.5999999999999997E-2</v>
      </c>
      <c r="AG298">
        <v>3.3</v>
      </c>
      <c r="AH298">
        <v>0</v>
      </c>
      <c r="AI298">
        <f t="shared" si="54"/>
        <v>0</v>
      </c>
      <c r="AJ298">
        <f t="shared" si="55"/>
        <v>0</v>
      </c>
      <c r="AK298">
        <f t="shared" si="56"/>
        <v>0</v>
      </c>
      <c r="AL298">
        <f t="shared" si="57"/>
        <v>0</v>
      </c>
      <c r="AM298">
        <f t="shared" si="58"/>
        <v>0</v>
      </c>
      <c r="AN298">
        <f t="shared" si="59"/>
        <v>0</v>
      </c>
    </row>
    <row r="299" spans="1:40" x14ac:dyDescent="0.3">
      <c r="A299" t="s">
        <v>96</v>
      </c>
      <c r="B299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48"/>
        <v>0</v>
      </c>
      <c r="P299">
        <f t="shared" si="49"/>
        <v>0</v>
      </c>
      <c r="Q299">
        <f t="shared" si="50"/>
        <v>0</v>
      </c>
      <c r="R299">
        <f t="shared" si="51"/>
        <v>0</v>
      </c>
      <c r="S299">
        <f t="shared" si="52"/>
        <v>0</v>
      </c>
      <c r="T299">
        <f t="shared" si="53"/>
        <v>0</v>
      </c>
      <c r="AA299">
        <v>763162.45</v>
      </c>
      <c r="AB299">
        <v>5903</v>
      </c>
      <c r="AC299">
        <v>14</v>
      </c>
      <c r="AD299">
        <v>55477.61</v>
      </c>
      <c r="AE299">
        <v>96.2</v>
      </c>
      <c r="AF299">
        <v>0.10199999999999999</v>
      </c>
      <c r="AG299">
        <v>3.3</v>
      </c>
      <c r="AH299">
        <v>0</v>
      </c>
      <c r="AI299">
        <f t="shared" si="54"/>
        <v>0</v>
      </c>
      <c r="AJ299">
        <f t="shared" si="55"/>
        <v>0</v>
      </c>
      <c r="AK299">
        <f t="shared" si="56"/>
        <v>0</v>
      </c>
      <c r="AL299">
        <f t="shared" si="57"/>
        <v>0</v>
      </c>
      <c r="AM299">
        <f t="shared" si="58"/>
        <v>0</v>
      </c>
      <c r="AN299">
        <f t="shared" si="59"/>
        <v>0</v>
      </c>
    </row>
    <row r="300" spans="1:40" x14ac:dyDescent="0.3">
      <c r="A300" t="s">
        <v>96</v>
      </c>
      <c r="B300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48"/>
        <v>0</v>
      </c>
      <c r="P300">
        <f t="shared" si="49"/>
        <v>0</v>
      </c>
      <c r="Q300">
        <f t="shared" si="50"/>
        <v>0</v>
      </c>
      <c r="R300">
        <f t="shared" si="51"/>
        <v>0</v>
      </c>
      <c r="S300">
        <f t="shared" si="52"/>
        <v>0</v>
      </c>
      <c r="T300">
        <f t="shared" si="53"/>
        <v>0</v>
      </c>
      <c r="AA300">
        <v>599017.32999999996</v>
      </c>
      <c r="AB300">
        <v>4898</v>
      </c>
      <c r="AC300">
        <v>11</v>
      </c>
      <c r="AD300">
        <v>46174.7</v>
      </c>
      <c r="AE300">
        <v>91.7</v>
      </c>
      <c r="AF300">
        <v>0.114</v>
      </c>
      <c r="AG300">
        <v>3.1</v>
      </c>
      <c r="AH300">
        <v>0</v>
      </c>
      <c r="AI300">
        <f t="shared" si="54"/>
        <v>0</v>
      </c>
      <c r="AJ300">
        <f t="shared" si="55"/>
        <v>0</v>
      </c>
      <c r="AK300">
        <f t="shared" si="56"/>
        <v>0</v>
      </c>
      <c r="AL300">
        <f t="shared" si="57"/>
        <v>0</v>
      </c>
      <c r="AM300">
        <f t="shared" si="58"/>
        <v>0</v>
      </c>
      <c r="AN300">
        <f t="shared" si="59"/>
        <v>0</v>
      </c>
    </row>
    <row r="301" spans="1:40" x14ac:dyDescent="0.3">
      <c r="A301" t="s">
        <v>96</v>
      </c>
      <c r="B301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48"/>
        <v>0</v>
      </c>
      <c r="P301">
        <f t="shared" si="49"/>
        <v>0</v>
      </c>
      <c r="Q301">
        <f t="shared" si="50"/>
        <v>0</v>
      </c>
      <c r="R301">
        <f t="shared" si="51"/>
        <v>0</v>
      </c>
      <c r="S301">
        <f t="shared" si="52"/>
        <v>0</v>
      </c>
      <c r="T301">
        <f t="shared" si="53"/>
        <v>0</v>
      </c>
      <c r="AA301">
        <v>401582.58</v>
      </c>
      <c r="AB301">
        <v>1462</v>
      </c>
      <c r="AC301">
        <v>6</v>
      </c>
      <c r="AD301">
        <v>24362.98</v>
      </c>
      <c r="AE301">
        <v>89.3</v>
      </c>
      <c r="AF301">
        <v>0.11700000000000001</v>
      </c>
      <c r="AG301">
        <v>3.2</v>
      </c>
      <c r="AH301">
        <v>0</v>
      </c>
      <c r="AI301">
        <f t="shared" si="54"/>
        <v>0</v>
      </c>
      <c r="AJ301">
        <f t="shared" si="55"/>
        <v>0</v>
      </c>
      <c r="AK301">
        <f t="shared" si="56"/>
        <v>0</v>
      </c>
      <c r="AL301">
        <f t="shared" si="57"/>
        <v>0</v>
      </c>
      <c r="AM301">
        <f t="shared" si="58"/>
        <v>0</v>
      </c>
      <c r="AN301">
        <f t="shared" si="59"/>
        <v>0</v>
      </c>
    </row>
    <row r="302" spans="1:40" x14ac:dyDescent="0.3">
      <c r="A302" t="s">
        <v>97</v>
      </c>
      <c r="B30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48"/>
        <v>0</v>
      </c>
      <c r="P302">
        <f t="shared" si="49"/>
        <v>0</v>
      </c>
      <c r="Q302">
        <f t="shared" si="50"/>
        <v>0</v>
      </c>
      <c r="R302">
        <f t="shared" si="51"/>
        <v>0</v>
      </c>
      <c r="S302">
        <f t="shared" si="52"/>
        <v>0</v>
      </c>
      <c r="T302">
        <f t="shared" si="53"/>
        <v>0</v>
      </c>
      <c r="AA302">
        <v>703812.99</v>
      </c>
      <c r="AB302">
        <v>8252</v>
      </c>
      <c r="AC302">
        <v>22</v>
      </c>
      <c r="AD302">
        <v>40647.67</v>
      </c>
      <c r="AE302">
        <v>88.2</v>
      </c>
      <c r="AF302">
        <v>0.14099999999999999</v>
      </c>
      <c r="AG302">
        <v>4.0999999999999996</v>
      </c>
      <c r="AH302">
        <v>1</v>
      </c>
      <c r="AI302">
        <f t="shared" si="54"/>
        <v>0</v>
      </c>
      <c r="AJ302">
        <f t="shared" si="55"/>
        <v>0</v>
      </c>
      <c r="AK302">
        <f t="shared" si="56"/>
        <v>0</v>
      </c>
      <c r="AL302">
        <f t="shared" si="57"/>
        <v>0</v>
      </c>
      <c r="AM302">
        <f t="shared" si="58"/>
        <v>0</v>
      </c>
      <c r="AN302">
        <f t="shared" si="59"/>
        <v>0</v>
      </c>
    </row>
    <row r="303" spans="1:40" x14ac:dyDescent="0.3">
      <c r="A303" t="s">
        <v>97</v>
      </c>
      <c r="B30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48"/>
        <v>0</v>
      </c>
      <c r="P303">
        <f t="shared" si="49"/>
        <v>0</v>
      </c>
      <c r="Q303">
        <f t="shared" si="50"/>
        <v>0</v>
      </c>
      <c r="R303">
        <f t="shared" si="51"/>
        <v>0</v>
      </c>
      <c r="S303">
        <f t="shared" si="52"/>
        <v>0</v>
      </c>
      <c r="T303">
        <f t="shared" si="53"/>
        <v>0</v>
      </c>
      <c r="AA303">
        <v>724346.73</v>
      </c>
      <c r="AB303">
        <v>7989</v>
      </c>
      <c r="AC303">
        <v>20</v>
      </c>
      <c r="AD303">
        <v>63986.98</v>
      </c>
      <c r="AE303">
        <v>83.3</v>
      </c>
      <c r="AF303">
        <v>7.3999999999999996E-2</v>
      </c>
      <c r="AG303">
        <v>3.7</v>
      </c>
      <c r="AH303">
        <v>0</v>
      </c>
      <c r="AI303">
        <f t="shared" si="54"/>
        <v>0</v>
      </c>
      <c r="AJ303">
        <f t="shared" si="55"/>
        <v>0</v>
      </c>
      <c r="AK303">
        <f t="shared" si="56"/>
        <v>0</v>
      </c>
      <c r="AL303">
        <f t="shared" si="57"/>
        <v>0</v>
      </c>
      <c r="AM303">
        <f t="shared" si="58"/>
        <v>0</v>
      </c>
      <c r="AN303">
        <f t="shared" si="59"/>
        <v>0</v>
      </c>
    </row>
    <row r="304" spans="1:40" x14ac:dyDescent="0.3">
      <c r="A304" t="s">
        <v>97</v>
      </c>
      <c r="B304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48"/>
        <v>0</v>
      </c>
      <c r="P304">
        <f t="shared" si="49"/>
        <v>0</v>
      </c>
      <c r="Q304">
        <f t="shared" si="50"/>
        <v>0</v>
      </c>
      <c r="R304">
        <f t="shared" si="51"/>
        <v>0</v>
      </c>
      <c r="S304">
        <f t="shared" si="52"/>
        <v>0</v>
      </c>
      <c r="T304">
        <f t="shared" si="53"/>
        <v>0</v>
      </c>
      <c r="AA304">
        <v>730890.01</v>
      </c>
      <c r="AB304">
        <v>8268</v>
      </c>
      <c r="AC304">
        <v>19</v>
      </c>
      <c r="AD304">
        <v>52843.75</v>
      </c>
      <c r="AE304">
        <v>87.3</v>
      </c>
      <c r="AF304">
        <v>0.13800000000000001</v>
      </c>
      <c r="AG304">
        <v>4.7</v>
      </c>
      <c r="AH304">
        <v>1</v>
      </c>
      <c r="AI304">
        <f t="shared" si="54"/>
        <v>0</v>
      </c>
      <c r="AJ304">
        <f t="shared" si="55"/>
        <v>0</v>
      </c>
      <c r="AK304">
        <f t="shared" si="56"/>
        <v>0</v>
      </c>
      <c r="AL304">
        <f t="shared" si="57"/>
        <v>0</v>
      </c>
      <c r="AM304">
        <f t="shared" si="58"/>
        <v>0</v>
      </c>
      <c r="AN304">
        <f t="shared" si="59"/>
        <v>0</v>
      </c>
    </row>
    <row r="305" spans="1:40" x14ac:dyDescent="0.3">
      <c r="A305" t="s">
        <v>97</v>
      </c>
      <c r="B305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48"/>
        <v>0</v>
      </c>
      <c r="P305">
        <f t="shared" si="49"/>
        <v>0</v>
      </c>
      <c r="Q305">
        <f t="shared" si="50"/>
        <v>0</v>
      </c>
      <c r="R305">
        <f t="shared" si="51"/>
        <v>0</v>
      </c>
      <c r="S305">
        <f t="shared" si="52"/>
        <v>0</v>
      </c>
      <c r="T305">
        <f t="shared" si="53"/>
        <v>0</v>
      </c>
      <c r="AA305">
        <v>780580.95</v>
      </c>
      <c r="AB305">
        <v>8183</v>
      </c>
      <c r="AC305">
        <v>18</v>
      </c>
      <c r="AD305">
        <v>31997.25</v>
      </c>
      <c r="AE305">
        <v>93</v>
      </c>
      <c r="AF305">
        <v>0.19800000000000001</v>
      </c>
      <c r="AG305">
        <v>4.2</v>
      </c>
      <c r="AH305">
        <v>0</v>
      </c>
      <c r="AI305">
        <f t="shared" si="54"/>
        <v>0</v>
      </c>
      <c r="AJ305">
        <f t="shared" si="55"/>
        <v>0</v>
      </c>
      <c r="AK305">
        <f t="shared" si="56"/>
        <v>0</v>
      </c>
      <c r="AL305">
        <f t="shared" si="57"/>
        <v>0</v>
      </c>
      <c r="AM305">
        <f t="shared" si="58"/>
        <v>0</v>
      </c>
      <c r="AN305">
        <f t="shared" si="59"/>
        <v>0</v>
      </c>
    </row>
    <row r="306" spans="1:40" x14ac:dyDescent="0.3">
      <c r="A306" t="s">
        <v>98</v>
      </c>
      <c r="B306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48"/>
        <v>0</v>
      </c>
      <c r="P306">
        <f t="shared" si="49"/>
        <v>0</v>
      </c>
      <c r="Q306">
        <f t="shared" si="50"/>
        <v>0</v>
      </c>
      <c r="R306">
        <f t="shared" si="51"/>
        <v>0</v>
      </c>
      <c r="S306">
        <f t="shared" si="52"/>
        <v>0</v>
      </c>
      <c r="T306">
        <f t="shared" si="53"/>
        <v>0</v>
      </c>
      <c r="AA306">
        <v>727957.48</v>
      </c>
      <c r="AB306">
        <v>6534</v>
      </c>
      <c r="AC306">
        <v>14</v>
      </c>
      <c r="AD306">
        <v>54948.02</v>
      </c>
      <c r="AE306">
        <v>94.5</v>
      </c>
      <c r="AF306">
        <v>0.183</v>
      </c>
      <c r="AG306">
        <v>4</v>
      </c>
      <c r="AH306">
        <v>0</v>
      </c>
      <c r="AI306">
        <f t="shared" si="54"/>
        <v>0</v>
      </c>
      <c r="AJ306">
        <f t="shared" si="55"/>
        <v>0</v>
      </c>
      <c r="AK306">
        <f t="shared" si="56"/>
        <v>0</v>
      </c>
      <c r="AL306">
        <f t="shared" si="57"/>
        <v>0</v>
      </c>
      <c r="AM306">
        <f t="shared" si="58"/>
        <v>0</v>
      </c>
      <c r="AN306">
        <f t="shared" si="59"/>
        <v>0</v>
      </c>
    </row>
    <row r="307" spans="1:40" x14ac:dyDescent="0.3">
      <c r="A307" t="s">
        <v>98</v>
      </c>
      <c r="B307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48"/>
        <v>0</v>
      </c>
      <c r="P307">
        <f t="shared" si="49"/>
        <v>0</v>
      </c>
      <c r="Q307">
        <f t="shared" si="50"/>
        <v>0</v>
      </c>
      <c r="R307">
        <f t="shared" si="51"/>
        <v>0</v>
      </c>
      <c r="S307">
        <f t="shared" si="52"/>
        <v>0</v>
      </c>
      <c r="T307">
        <f t="shared" si="53"/>
        <v>0</v>
      </c>
      <c r="AA307">
        <v>538376</v>
      </c>
      <c r="AB307">
        <v>5804</v>
      </c>
      <c r="AC307">
        <v>16</v>
      </c>
      <c r="AD307">
        <v>46146.239999999998</v>
      </c>
      <c r="AE307">
        <v>86.9</v>
      </c>
      <c r="AF307">
        <v>4.7E-2</v>
      </c>
      <c r="AG307">
        <v>3.8</v>
      </c>
      <c r="AH307">
        <v>0</v>
      </c>
      <c r="AI307">
        <f t="shared" si="54"/>
        <v>0</v>
      </c>
      <c r="AJ307">
        <f t="shared" si="55"/>
        <v>0</v>
      </c>
      <c r="AK307">
        <f t="shared" si="56"/>
        <v>0</v>
      </c>
      <c r="AL307">
        <f t="shared" si="57"/>
        <v>0</v>
      </c>
      <c r="AM307">
        <f t="shared" si="58"/>
        <v>0</v>
      </c>
      <c r="AN307">
        <f t="shared" si="59"/>
        <v>0</v>
      </c>
    </row>
    <row r="308" spans="1:40" x14ac:dyDescent="0.3">
      <c r="A308" t="s">
        <v>98</v>
      </c>
      <c r="B308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48"/>
        <v>0</v>
      </c>
      <c r="P308">
        <f t="shared" si="49"/>
        <v>0</v>
      </c>
      <c r="Q308">
        <f t="shared" si="50"/>
        <v>0</v>
      </c>
      <c r="R308">
        <f t="shared" si="51"/>
        <v>0</v>
      </c>
      <c r="S308">
        <f t="shared" si="52"/>
        <v>0</v>
      </c>
      <c r="T308">
        <f t="shared" si="53"/>
        <v>0</v>
      </c>
      <c r="AA308">
        <v>665342.49</v>
      </c>
      <c r="AB308">
        <v>6301</v>
      </c>
      <c r="AC308">
        <v>14</v>
      </c>
      <c r="AD308">
        <v>22387.26</v>
      </c>
      <c r="AE308">
        <v>85.9</v>
      </c>
      <c r="AF308">
        <v>0.14599999999999999</v>
      </c>
      <c r="AG308">
        <v>3.7</v>
      </c>
      <c r="AH308">
        <v>1</v>
      </c>
      <c r="AI308">
        <f t="shared" si="54"/>
        <v>0</v>
      </c>
      <c r="AJ308">
        <f t="shared" si="55"/>
        <v>0</v>
      </c>
      <c r="AK308">
        <f t="shared" si="56"/>
        <v>0</v>
      </c>
      <c r="AL308">
        <f t="shared" si="57"/>
        <v>0</v>
      </c>
      <c r="AM308">
        <f t="shared" si="58"/>
        <v>0</v>
      </c>
      <c r="AN308">
        <f t="shared" si="59"/>
        <v>0</v>
      </c>
    </row>
    <row r="309" spans="1:40" x14ac:dyDescent="0.3">
      <c r="A309" t="s">
        <v>98</v>
      </c>
      <c r="B309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48"/>
        <v>0</v>
      </c>
      <c r="P309">
        <f t="shared" si="49"/>
        <v>0</v>
      </c>
      <c r="Q309">
        <f t="shared" si="50"/>
        <v>0</v>
      </c>
      <c r="R309">
        <f t="shared" si="51"/>
        <v>0</v>
      </c>
      <c r="S309">
        <f t="shared" si="52"/>
        <v>0</v>
      </c>
      <c r="T309">
        <f t="shared" si="53"/>
        <v>0</v>
      </c>
      <c r="AA309">
        <v>651164.18000000005</v>
      </c>
      <c r="AB309">
        <v>6399</v>
      </c>
      <c r="AC309">
        <v>16</v>
      </c>
      <c r="AD309">
        <v>60684.05</v>
      </c>
      <c r="AE309">
        <v>99</v>
      </c>
      <c r="AF309">
        <v>7.4999999999999997E-2</v>
      </c>
      <c r="AG309">
        <v>3.5</v>
      </c>
      <c r="AH309">
        <v>0</v>
      </c>
      <c r="AI309">
        <f t="shared" si="54"/>
        <v>0</v>
      </c>
      <c r="AJ309">
        <f t="shared" si="55"/>
        <v>0</v>
      </c>
      <c r="AK309">
        <f t="shared" si="56"/>
        <v>0</v>
      </c>
      <c r="AL309">
        <f t="shared" si="57"/>
        <v>0</v>
      </c>
      <c r="AM309">
        <f t="shared" si="58"/>
        <v>0</v>
      </c>
      <c r="AN309">
        <f t="shared" si="59"/>
        <v>0</v>
      </c>
    </row>
    <row r="310" spans="1:40" x14ac:dyDescent="0.3">
      <c r="A310" t="s">
        <v>99</v>
      </c>
      <c r="B310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48"/>
        <v>0</v>
      </c>
      <c r="P310">
        <f t="shared" si="49"/>
        <v>0</v>
      </c>
      <c r="Q310">
        <f t="shared" si="50"/>
        <v>0</v>
      </c>
      <c r="R310">
        <f t="shared" si="51"/>
        <v>0</v>
      </c>
      <c r="S310">
        <f t="shared" si="52"/>
        <v>0</v>
      </c>
      <c r="T310">
        <f t="shared" si="53"/>
        <v>0</v>
      </c>
      <c r="AA310">
        <v>628538.30000000005</v>
      </c>
      <c r="AB310">
        <v>5759</v>
      </c>
      <c r="AC310">
        <v>13</v>
      </c>
      <c r="AD310">
        <v>48465.599999999999</v>
      </c>
      <c r="AE310">
        <v>87.5</v>
      </c>
      <c r="AF310">
        <v>0.154</v>
      </c>
      <c r="AG310">
        <v>4</v>
      </c>
      <c r="AH310">
        <v>0</v>
      </c>
      <c r="AI310">
        <f t="shared" si="54"/>
        <v>0</v>
      </c>
      <c r="AJ310">
        <f t="shared" si="55"/>
        <v>0</v>
      </c>
      <c r="AK310">
        <f t="shared" si="56"/>
        <v>0</v>
      </c>
      <c r="AL310">
        <f t="shared" si="57"/>
        <v>0</v>
      </c>
      <c r="AM310">
        <f t="shared" si="58"/>
        <v>0</v>
      </c>
      <c r="AN310">
        <f t="shared" si="59"/>
        <v>0</v>
      </c>
    </row>
    <row r="311" spans="1:40" x14ac:dyDescent="0.3">
      <c r="A311" t="s">
        <v>99</v>
      </c>
      <c r="B311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48"/>
        <v>0</v>
      </c>
      <c r="P311">
        <f t="shared" si="49"/>
        <v>0</v>
      </c>
      <c r="Q311">
        <f t="shared" si="50"/>
        <v>0</v>
      </c>
      <c r="R311">
        <f t="shared" si="51"/>
        <v>0</v>
      </c>
      <c r="S311">
        <f t="shared" si="52"/>
        <v>0</v>
      </c>
      <c r="T311">
        <f t="shared" si="53"/>
        <v>0</v>
      </c>
      <c r="AA311">
        <v>536524.84</v>
      </c>
      <c r="AB311">
        <v>5285</v>
      </c>
      <c r="AC311">
        <v>14</v>
      </c>
      <c r="AD311">
        <v>23702.38</v>
      </c>
      <c r="AE311">
        <v>79.7</v>
      </c>
      <c r="AF311">
        <v>0.16700000000000001</v>
      </c>
      <c r="AG311">
        <v>4.3</v>
      </c>
      <c r="AH311">
        <v>0</v>
      </c>
      <c r="AI311">
        <f t="shared" si="54"/>
        <v>0</v>
      </c>
      <c r="AJ311">
        <f t="shared" si="55"/>
        <v>0</v>
      </c>
      <c r="AK311">
        <f t="shared" si="56"/>
        <v>0</v>
      </c>
      <c r="AL311">
        <f t="shared" si="57"/>
        <v>0</v>
      </c>
      <c r="AM311">
        <f t="shared" si="58"/>
        <v>0</v>
      </c>
      <c r="AN311">
        <f t="shared" si="59"/>
        <v>0</v>
      </c>
    </row>
    <row r="312" spans="1:40" x14ac:dyDescent="0.3">
      <c r="A312" t="s">
        <v>99</v>
      </c>
      <c r="B31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48"/>
        <v>0</v>
      </c>
      <c r="P312">
        <f t="shared" si="49"/>
        <v>0</v>
      </c>
      <c r="Q312">
        <f t="shared" si="50"/>
        <v>0</v>
      </c>
      <c r="R312">
        <f t="shared" si="51"/>
        <v>0</v>
      </c>
      <c r="S312">
        <f t="shared" si="52"/>
        <v>0</v>
      </c>
      <c r="T312">
        <f t="shared" si="53"/>
        <v>0</v>
      </c>
      <c r="AA312">
        <v>621677.30000000005</v>
      </c>
      <c r="AB312">
        <v>5434</v>
      </c>
      <c r="AC312">
        <v>13</v>
      </c>
      <c r="AD312">
        <v>54322.94</v>
      </c>
      <c r="AE312">
        <v>85.7</v>
      </c>
      <c r="AF312">
        <v>0.2</v>
      </c>
      <c r="AG312">
        <v>4.2</v>
      </c>
      <c r="AH312">
        <v>0</v>
      </c>
      <c r="AI312">
        <f t="shared" si="54"/>
        <v>0</v>
      </c>
      <c r="AJ312">
        <f t="shared" si="55"/>
        <v>0</v>
      </c>
      <c r="AK312">
        <f t="shared" si="56"/>
        <v>0</v>
      </c>
      <c r="AL312">
        <f t="shared" si="57"/>
        <v>0</v>
      </c>
      <c r="AM312">
        <f t="shared" si="58"/>
        <v>0</v>
      </c>
      <c r="AN312">
        <f t="shared" si="59"/>
        <v>0</v>
      </c>
    </row>
    <row r="313" spans="1:40" x14ac:dyDescent="0.3">
      <c r="A313" t="s">
        <v>99</v>
      </c>
      <c r="B31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</v>
      </c>
      <c r="M313">
        <v>771129.07</v>
      </c>
      <c r="N313">
        <v>116851.13</v>
      </c>
      <c r="O313">
        <f t="shared" si="48"/>
        <v>0</v>
      </c>
      <c r="P313">
        <f t="shared" si="49"/>
        <v>0</v>
      </c>
      <c r="Q313">
        <f t="shared" si="50"/>
        <v>0</v>
      </c>
      <c r="R313">
        <f t="shared" si="51"/>
        <v>0</v>
      </c>
      <c r="S313">
        <f t="shared" si="52"/>
        <v>0</v>
      </c>
      <c r="T313">
        <f t="shared" si="53"/>
        <v>0</v>
      </c>
      <c r="AA313">
        <v>771129.07</v>
      </c>
      <c r="AB313">
        <v>7479</v>
      </c>
      <c r="AC313">
        <v>20</v>
      </c>
      <c r="AD313">
        <v>86026.58</v>
      </c>
      <c r="AE313">
        <v>89</v>
      </c>
      <c r="AF313">
        <v>0.14199999999999999</v>
      </c>
      <c r="AG313">
        <v>3.9</v>
      </c>
      <c r="AH313">
        <v>0</v>
      </c>
      <c r="AI313">
        <f t="shared" si="54"/>
        <v>0</v>
      </c>
      <c r="AJ313">
        <f t="shared" si="55"/>
        <v>0</v>
      </c>
      <c r="AK313">
        <f t="shared" si="56"/>
        <v>0</v>
      </c>
      <c r="AL313">
        <f t="shared" si="57"/>
        <v>0</v>
      </c>
      <c r="AM313">
        <f t="shared" si="58"/>
        <v>0</v>
      </c>
      <c r="AN313">
        <f t="shared" si="59"/>
        <v>0</v>
      </c>
    </row>
    <row r="314" spans="1:40" x14ac:dyDescent="0.3">
      <c r="A314" t="s">
        <v>100</v>
      </c>
      <c r="B314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48"/>
        <v>0</v>
      </c>
      <c r="P314">
        <f t="shared" si="49"/>
        <v>0</v>
      </c>
      <c r="Q314">
        <f t="shared" si="50"/>
        <v>0</v>
      </c>
      <c r="R314">
        <f t="shared" si="51"/>
        <v>0</v>
      </c>
      <c r="S314">
        <f t="shared" si="52"/>
        <v>0</v>
      </c>
      <c r="T314">
        <f t="shared" si="53"/>
        <v>0</v>
      </c>
      <c r="AA314">
        <v>702052.47</v>
      </c>
      <c r="AB314">
        <v>6164</v>
      </c>
      <c r="AC314">
        <v>16</v>
      </c>
      <c r="AD314">
        <v>78967.520000000004</v>
      </c>
      <c r="AE314">
        <v>85.5</v>
      </c>
      <c r="AF314">
        <v>2.1000000000000001E-2</v>
      </c>
      <c r="AG314">
        <v>3.4</v>
      </c>
      <c r="AH314">
        <v>0</v>
      </c>
      <c r="AI314">
        <f t="shared" si="54"/>
        <v>0</v>
      </c>
      <c r="AJ314">
        <f t="shared" si="55"/>
        <v>0</v>
      </c>
      <c r="AK314">
        <f t="shared" si="56"/>
        <v>0</v>
      </c>
      <c r="AL314">
        <f t="shared" si="57"/>
        <v>0</v>
      </c>
      <c r="AM314">
        <f t="shared" si="58"/>
        <v>0</v>
      </c>
      <c r="AN314">
        <f t="shared" si="59"/>
        <v>0</v>
      </c>
    </row>
    <row r="315" spans="1:40" x14ac:dyDescent="0.3">
      <c r="A315" t="s">
        <v>100</v>
      </c>
      <c r="B315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</v>
      </c>
      <c r="M315">
        <v>688368.46</v>
      </c>
      <c r="N315">
        <v>93588.42</v>
      </c>
      <c r="O315">
        <f t="shared" si="48"/>
        <v>0</v>
      </c>
      <c r="P315">
        <f t="shared" si="49"/>
        <v>0</v>
      </c>
      <c r="Q315">
        <f t="shared" si="50"/>
        <v>0</v>
      </c>
      <c r="R315">
        <f t="shared" si="51"/>
        <v>0</v>
      </c>
      <c r="S315">
        <f t="shared" si="52"/>
        <v>0</v>
      </c>
      <c r="T315">
        <f t="shared" si="53"/>
        <v>0</v>
      </c>
      <c r="AA315">
        <v>688368.46</v>
      </c>
      <c r="AB315">
        <v>7973</v>
      </c>
      <c r="AC315">
        <v>18</v>
      </c>
      <c r="AD315">
        <v>46767.99</v>
      </c>
      <c r="AE315">
        <v>94.8</v>
      </c>
      <c r="AF315">
        <v>0.183</v>
      </c>
      <c r="AG315">
        <v>3.9</v>
      </c>
      <c r="AH315">
        <v>0</v>
      </c>
      <c r="AI315">
        <f t="shared" si="54"/>
        <v>0</v>
      </c>
      <c r="AJ315">
        <f t="shared" si="55"/>
        <v>0</v>
      </c>
      <c r="AK315">
        <f t="shared" si="56"/>
        <v>0</v>
      </c>
      <c r="AL315">
        <f t="shared" si="57"/>
        <v>0</v>
      </c>
      <c r="AM315">
        <f t="shared" si="58"/>
        <v>0</v>
      </c>
      <c r="AN315">
        <f t="shared" si="59"/>
        <v>0</v>
      </c>
    </row>
    <row r="316" spans="1:40" x14ac:dyDescent="0.3">
      <c r="A316" t="s">
        <v>100</v>
      </c>
      <c r="B316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48"/>
        <v>0</v>
      </c>
      <c r="P316">
        <f t="shared" si="49"/>
        <v>0</v>
      </c>
      <c r="Q316">
        <f t="shared" si="50"/>
        <v>0</v>
      </c>
      <c r="R316">
        <f t="shared" si="51"/>
        <v>0</v>
      </c>
      <c r="S316">
        <f t="shared" si="52"/>
        <v>0</v>
      </c>
      <c r="T316">
        <f t="shared" si="53"/>
        <v>0</v>
      </c>
      <c r="AA316">
        <v>712375.77</v>
      </c>
      <c r="AB316">
        <v>6000</v>
      </c>
      <c r="AC316">
        <v>14</v>
      </c>
      <c r="AD316">
        <v>62507.16</v>
      </c>
      <c r="AE316">
        <v>98.2</v>
      </c>
      <c r="AF316">
        <v>9.0999999999999998E-2</v>
      </c>
      <c r="AG316">
        <v>3.9</v>
      </c>
      <c r="AH316">
        <v>1</v>
      </c>
      <c r="AI316">
        <f t="shared" si="54"/>
        <v>0</v>
      </c>
      <c r="AJ316">
        <f t="shared" si="55"/>
        <v>0</v>
      </c>
      <c r="AK316">
        <f t="shared" si="56"/>
        <v>0</v>
      </c>
      <c r="AL316">
        <f t="shared" si="57"/>
        <v>0</v>
      </c>
      <c r="AM316">
        <f t="shared" si="58"/>
        <v>0</v>
      </c>
      <c r="AN316">
        <f t="shared" si="59"/>
        <v>0</v>
      </c>
    </row>
    <row r="317" spans="1:40" x14ac:dyDescent="0.3">
      <c r="A317" t="s">
        <v>100</v>
      </c>
      <c r="B317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48"/>
        <v>0</v>
      </c>
      <c r="P317">
        <f t="shared" si="49"/>
        <v>0</v>
      </c>
      <c r="Q317">
        <f t="shared" si="50"/>
        <v>0</v>
      </c>
      <c r="R317">
        <f t="shared" si="51"/>
        <v>0</v>
      </c>
      <c r="S317">
        <f t="shared" si="52"/>
        <v>0</v>
      </c>
      <c r="T317">
        <f t="shared" si="53"/>
        <v>0</v>
      </c>
      <c r="AA317">
        <v>844710.67</v>
      </c>
      <c r="AB317">
        <v>9967</v>
      </c>
      <c r="AC317">
        <v>20</v>
      </c>
      <c r="AD317">
        <v>66456.28</v>
      </c>
      <c r="AE317">
        <v>94.7</v>
      </c>
      <c r="AF317">
        <v>0.108</v>
      </c>
      <c r="AG317">
        <v>4.2</v>
      </c>
      <c r="AH317">
        <v>0</v>
      </c>
      <c r="AI317">
        <f t="shared" si="54"/>
        <v>0</v>
      </c>
      <c r="AJ317">
        <f t="shared" si="55"/>
        <v>0</v>
      </c>
      <c r="AK317">
        <f t="shared" si="56"/>
        <v>0</v>
      </c>
      <c r="AL317">
        <f t="shared" si="57"/>
        <v>0</v>
      </c>
      <c r="AM317">
        <f t="shared" si="58"/>
        <v>0</v>
      </c>
      <c r="AN317">
        <f t="shared" si="59"/>
        <v>0</v>
      </c>
    </row>
    <row r="318" spans="1:40" x14ac:dyDescent="0.3">
      <c r="A318" t="s">
        <v>101</v>
      </c>
      <c r="B318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48"/>
        <v>0</v>
      </c>
      <c r="P318">
        <f t="shared" si="49"/>
        <v>0</v>
      </c>
      <c r="Q318">
        <f t="shared" si="50"/>
        <v>0</v>
      </c>
      <c r="R318">
        <f t="shared" si="51"/>
        <v>0</v>
      </c>
      <c r="S318">
        <f t="shared" si="52"/>
        <v>0</v>
      </c>
      <c r="T318">
        <f t="shared" si="53"/>
        <v>0</v>
      </c>
      <c r="AA318">
        <v>620264.19999999995</v>
      </c>
      <c r="AB318">
        <v>5639</v>
      </c>
      <c r="AC318">
        <v>15</v>
      </c>
      <c r="AD318">
        <v>76614.320000000007</v>
      </c>
      <c r="AE318">
        <v>92.9</v>
      </c>
      <c r="AF318">
        <v>0.17399999999999999</v>
      </c>
      <c r="AG318">
        <v>4</v>
      </c>
      <c r="AH318">
        <v>1</v>
      </c>
      <c r="AI318">
        <f t="shared" si="54"/>
        <v>0</v>
      </c>
      <c r="AJ318">
        <f t="shared" si="55"/>
        <v>0</v>
      </c>
      <c r="AK318">
        <f t="shared" si="56"/>
        <v>0</v>
      </c>
      <c r="AL318">
        <f t="shared" si="57"/>
        <v>0</v>
      </c>
      <c r="AM318">
        <f t="shared" si="58"/>
        <v>0</v>
      </c>
      <c r="AN318">
        <f t="shared" si="59"/>
        <v>0</v>
      </c>
    </row>
    <row r="319" spans="1:40" x14ac:dyDescent="0.3">
      <c r="A319" t="s">
        <v>101</v>
      </c>
      <c r="B319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48"/>
        <v>0</v>
      </c>
      <c r="P319">
        <f t="shared" si="49"/>
        <v>0</v>
      </c>
      <c r="Q319">
        <f t="shared" si="50"/>
        <v>0</v>
      </c>
      <c r="R319">
        <f t="shared" si="51"/>
        <v>0</v>
      </c>
      <c r="S319">
        <f t="shared" si="52"/>
        <v>0</v>
      </c>
      <c r="T319">
        <f t="shared" si="53"/>
        <v>0</v>
      </c>
      <c r="AA319">
        <v>536845.42000000004</v>
      </c>
      <c r="AB319">
        <v>3466</v>
      </c>
      <c r="AC319">
        <v>11</v>
      </c>
      <c r="AD319">
        <v>24088.06</v>
      </c>
      <c r="AE319">
        <v>88</v>
      </c>
      <c r="AF319">
        <v>0</v>
      </c>
      <c r="AG319">
        <v>3.8</v>
      </c>
      <c r="AH319">
        <v>0</v>
      </c>
      <c r="AI319">
        <f t="shared" si="54"/>
        <v>0</v>
      </c>
      <c r="AJ319">
        <f t="shared" si="55"/>
        <v>0</v>
      </c>
      <c r="AK319">
        <f t="shared" si="56"/>
        <v>0</v>
      </c>
      <c r="AL319">
        <f t="shared" si="57"/>
        <v>0</v>
      </c>
      <c r="AM319">
        <f t="shared" si="58"/>
        <v>0</v>
      </c>
      <c r="AN319">
        <f t="shared" si="59"/>
        <v>0</v>
      </c>
    </row>
    <row r="320" spans="1:40" x14ac:dyDescent="0.3">
      <c r="A320" t="s">
        <v>101</v>
      </c>
      <c r="B320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48"/>
        <v>0</v>
      </c>
      <c r="P320">
        <f t="shared" si="49"/>
        <v>0</v>
      </c>
      <c r="Q320">
        <f t="shared" si="50"/>
        <v>0</v>
      </c>
      <c r="R320">
        <f t="shared" si="51"/>
        <v>0</v>
      </c>
      <c r="S320">
        <f t="shared" si="52"/>
        <v>0</v>
      </c>
      <c r="T320">
        <f t="shared" si="53"/>
        <v>0</v>
      </c>
      <c r="AA320">
        <v>726776.22</v>
      </c>
      <c r="AB320">
        <v>7775</v>
      </c>
      <c r="AC320">
        <v>20</v>
      </c>
      <c r="AD320">
        <v>81902.58</v>
      </c>
      <c r="AE320">
        <v>85.2</v>
      </c>
      <c r="AF320">
        <v>0.215</v>
      </c>
      <c r="AG320">
        <v>4.2</v>
      </c>
      <c r="AH320">
        <v>1</v>
      </c>
      <c r="AI320">
        <f t="shared" si="54"/>
        <v>0</v>
      </c>
      <c r="AJ320">
        <f t="shared" si="55"/>
        <v>0</v>
      </c>
      <c r="AK320">
        <f t="shared" si="56"/>
        <v>0</v>
      </c>
      <c r="AL320">
        <f t="shared" si="57"/>
        <v>0</v>
      </c>
      <c r="AM320">
        <f t="shared" si="58"/>
        <v>0</v>
      </c>
      <c r="AN320">
        <f t="shared" si="59"/>
        <v>0</v>
      </c>
    </row>
    <row r="321" spans="1:40" x14ac:dyDescent="0.3">
      <c r="A321" t="s">
        <v>101</v>
      </c>
      <c r="B321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48"/>
        <v>0</v>
      </c>
      <c r="P321">
        <f t="shared" si="49"/>
        <v>0</v>
      </c>
      <c r="Q321">
        <f t="shared" si="50"/>
        <v>0</v>
      </c>
      <c r="R321">
        <f t="shared" si="51"/>
        <v>0</v>
      </c>
      <c r="S321">
        <f t="shared" si="52"/>
        <v>0</v>
      </c>
      <c r="T321">
        <f t="shared" si="53"/>
        <v>0</v>
      </c>
      <c r="AA321">
        <v>559660.84</v>
      </c>
      <c r="AB321">
        <v>5317</v>
      </c>
      <c r="AC321">
        <v>17</v>
      </c>
      <c r="AD321">
        <v>40553.11</v>
      </c>
      <c r="AE321">
        <v>84.3</v>
      </c>
      <c r="AF321">
        <v>0.16500000000000001</v>
      </c>
      <c r="AG321">
        <v>4.0999999999999996</v>
      </c>
      <c r="AH321">
        <v>0</v>
      </c>
      <c r="AI321">
        <f t="shared" si="54"/>
        <v>0</v>
      </c>
      <c r="AJ321">
        <f t="shared" si="55"/>
        <v>0</v>
      </c>
      <c r="AK321">
        <f t="shared" si="56"/>
        <v>0</v>
      </c>
      <c r="AL321">
        <f t="shared" si="57"/>
        <v>0</v>
      </c>
      <c r="AM321">
        <f t="shared" si="58"/>
        <v>0</v>
      </c>
      <c r="AN321">
        <f t="shared" si="59"/>
        <v>0</v>
      </c>
    </row>
    <row r="323" spans="1:40" x14ac:dyDescent="0.3">
      <c r="J323">
        <f>MEDIAN(J2:J321)</f>
        <v>3.37</v>
      </c>
      <c r="L323">
        <f>MEDIAN(L2:L321)</f>
        <v>3.9</v>
      </c>
      <c r="AG323">
        <f>MEDIAN(AG2:AG321)</f>
        <v>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45CA-D356-470B-9B2D-2140DFE708B0}">
  <dimension ref="A1:J321"/>
  <sheetViews>
    <sheetView workbookViewId="0">
      <selection activeCell="L14" sqref="L14"/>
    </sheetView>
  </sheetViews>
  <sheetFormatPr defaultRowHeight="14.4" x14ac:dyDescent="0.3"/>
  <cols>
    <col min="4" max="4" width="9.88671875" bestFit="1" customWidth="1"/>
    <col min="5" max="5" width="12.21875" bestFit="1" customWidth="1"/>
    <col min="6" max="6" width="12.33203125" bestFit="1" customWidth="1"/>
    <col min="7" max="7" width="11.5546875" bestFit="1" customWidth="1"/>
    <col min="8" max="8" width="14.6640625" bestFit="1" customWidth="1"/>
    <col min="9" max="9" width="11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3">
      <c r="A2" t="s">
        <v>14</v>
      </c>
      <c r="B2">
        <v>45658</v>
      </c>
      <c r="C2" t="s">
        <v>15</v>
      </c>
      <c r="D2" t="s">
        <v>16</v>
      </c>
      <c r="E2">
        <f>IF(C2="North",1,0)</f>
        <v>0</v>
      </c>
      <c r="F2">
        <f>IF(C2="South",1,0)</f>
        <v>0</v>
      </c>
      <c r="G2">
        <f>IF(C2="West",1,0)</f>
        <v>0</v>
      </c>
      <c r="H2">
        <f>IF(D2="High Street",1,0)</f>
        <v>0</v>
      </c>
      <c r="I2">
        <f>IF(D2="Airport",1,0)</f>
        <v>0</v>
      </c>
      <c r="J2">
        <f>IF(D2="Mall",1,0)</f>
        <v>0</v>
      </c>
    </row>
    <row r="3" spans="1:10" x14ac:dyDescent="0.3">
      <c r="A3" t="s">
        <v>14</v>
      </c>
      <c r="B3">
        <v>45689</v>
      </c>
      <c r="C3" t="s">
        <v>15</v>
      </c>
      <c r="D3" t="s">
        <v>16</v>
      </c>
      <c r="E3">
        <f t="shared" ref="E3:E66" si="0">IF(C3="North",1,0)</f>
        <v>0</v>
      </c>
      <c r="F3">
        <f t="shared" ref="F3:F66" si="1">IF(C3="South",1,0)</f>
        <v>0</v>
      </c>
      <c r="G3">
        <f t="shared" ref="G3:G66" si="2">IF(C3="West",1,0)</f>
        <v>0</v>
      </c>
      <c r="H3">
        <f t="shared" ref="H3:H66" si="3">IF(D3="High Street",1,0)</f>
        <v>0</v>
      </c>
      <c r="I3">
        <f t="shared" ref="I3:I66" si="4">IF(D3="Airport",1,0)</f>
        <v>0</v>
      </c>
      <c r="J3">
        <f t="shared" ref="J3:J66" si="5">IF(D3="Mall",1,0)</f>
        <v>0</v>
      </c>
    </row>
    <row r="4" spans="1:10" x14ac:dyDescent="0.3">
      <c r="A4" t="s">
        <v>14</v>
      </c>
      <c r="B4">
        <v>45717</v>
      </c>
      <c r="C4" t="s">
        <v>15</v>
      </c>
      <c r="D4" t="s">
        <v>16</v>
      </c>
      <c r="E4">
        <f t="shared" si="0"/>
        <v>0</v>
      </c>
      <c r="F4">
        <f t="shared" si="1"/>
        <v>0</v>
      </c>
      <c r="G4">
        <f t="shared" si="2"/>
        <v>0</v>
      </c>
      <c r="H4">
        <f t="shared" si="3"/>
        <v>0</v>
      </c>
      <c r="I4">
        <f t="shared" si="4"/>
        <v>0</v>
      </c>
      <c r="J4">
        <f t="shared" si="5"/>
        <v>0</v>
      </c>
    </row>
    <row r="5" spans="1:10" x14ac:dyDescent="0.3">
      <c r="A5" t="s">
        <v>14</v>
      </c>
      <c r="B5">
        <v>45748</v>
      </c>
      <c r="C5" t="s">
        <v>15</v>
      </c>
      <c r="D5" t="s">
        <v>16</v>
      </c>
      <c r="E5">
        <f t="shared" si="0"/>
        <v>0</v>
      </c>
      <c r="F5">
        <f t="shared" si="1"/>
        <v>0</v>
      </c>
      <c r="G5">
        <f t="shared" si="2"/>
        <v>0</v>
      </c>
      <c r="H5">
        <f t="shared" si="3"/>
        <v>0</v>
      </c>
      <c r="I5">
        <f t="shared" si="4"/>
        <v>0</v>
      </c>
      <c r="J5">
        <f t="shared" si="5"/>
        <v>0</v>
      </c>
    </row>
    <row r="6" spans="1:10" x14ac:dyDescent="0.3">
      <c r="A6" t="s">
        <v>17</v>
      </c>
      <c r="B6">
        <v>45658</v>
      </c>
      <c r="C6" t="s">
        <v>15</v>
      </c>
      <c r="D6" t="s">
        <v>18</v>
      </c>
      <c r="E6">
        <f t="shared" si="0"/>
        <v>0</v>
      </c>
      <c r="F6">
        <f t="shared" si="1"/>
        <v>0</v>
      </c>
      <c r="G6">
        <f t="shared" si="2"/>
        <v>0</v>
      </c>
      <c r="H6">
        <f t="shared" si="3"/>
        <v>1</v>
      </c>
      <c r="I6">
        <f t="shared" si="4"/>
        <v>0</v>
      </c>
      <c r="J6">
        <f t="shared" si="5"/>
        <v>0</v>
      </c>
    </row>
    <row r="7" spans="1:10" x14ac:dyDescent="0.3">
      <c r="A7" t="s">
        <v>17</v>
      </c>
      <c r="B7">
        <v>45689</v>
      </c>
      <c r="C7" t="s">
        <v>15</v>
      </c>
      <c r="D7" t="s">
        <v>18</v>
      </c>
      <c r="E7">
        <f t="shared" si="0"/>
        <v>0</v>
      </c>
      <c r="F7">
        <f t="shared" si="1"/>
        <v>0</v>
      </c>
      <c r="G7">
        <f t="shared" si="2"/>
        <v>0</v>
      </c>
      <c r="H7">
        <f t="shared" si="3"/>
        <v>1</v>
      </c>
      <c r="I7">
        <f t="shared" si="4"/>
        <v>0</v>
      </c>
      <c r="J7">
        <f t="shared" si="5"/>
        <v>0</v>
      </c>
    </row>
    <row r="8" spans="1:10" x14ac:dyDescent="0.3">
      <c r="A8" t="s">
        <v>17</v>
      </c>
      <c r="B8">
        <v>45717</v>
      </c>
      <c r="C8" t="s">
        <v>15</v>
      </c>
      <c r="D8" t="s">
        <v>18</v>
      </c>
      <c r="E8">
        <f t="shared" si="0"/>
        <v>0</v>
      </c>
      <c r="F8">
        <f t="shared" si="1"/>
        <v>0</v>
      </c>
      <c r="G8">
        <f t="shared" si="2"/>
        <v>0</v>
      </c>
      <c r="H8">
        <f t="shared" si="3"/>
        <v>1</v>
      </c>
      <c r="I8">
        <f t="shared" si="4"/>
        <v>0</v>
      </c>
      <c r="J8">
        <f t="shared" si="5"/>
        <v>0</v>
      </c>
    </row>
    <row r="9" spans="1:10" x14ac:dyDescent="0.3">
      <c r="A9" t="s">
        <v>17</v>
      </c>
      <c r="B9">
        <v>45748</v>
      </c>
      <c r="C9" t="s">
        <v>15</v>
      </c>
      <c r="D9" t="s">
        <v>18</v>
      </c>
      <c r="E9">
        <f t="shared" si="0"/>
        <v>0</v>
      </c>
      <c r="F9">
        <f t="shared" si="1"/>
        <v>0</v>
      </c>
      <c r="G9">
        <f t="shared" si="2"/>
        <v>0</v>
      </c>
      <c r="H9">
        <f t="shared" si="3"/>
        <v>1</v>
      </c>
      <c r="I9">
        <f t="shared" si="4"/>
        <v>0</v>
      </c>
      <c r="J9">
        <f t="shared" si="5"/>
        <v>0</v>
      </c>
    </row>
    <row r="10" spans="1:10" x14ac:dyDescent="0.3">
      <c r="A10" t="s">
        <v>19</v>
      </c>
      <c r="B10">
        <v>45658</v>
      </c>
      <c r="C10" t="s">
        <v>20</v>
      </c>
      <c r="D10" t="s">
        <v>21</v>
      </c>
      <c r="E10">
        <f t="shared" si="0"/>
        <v>1</v>
      </c>
      <c r="F10">
        <f t="shared" si="1"/>
        <v>0</v>
      </c>
      <c r="G10">
        <f t="shared" si="2"/>
        <v>0</v>
      </c>
      <c r="H10">
        <f t="shared" si="3"/>
        <v>0</v>
      </c>
      <c r="I10">
        <f t="shared" si="4"/>
        <v>1</v>
      </c>
      <c r="J10">
        <f t="shared" si="5"/>
        <v>0</v>
      </c>
    </row>
    <row r="11" spans="1:10" x14ac:dyDescent="0.3">
      <c r="A11" t="s">
        <v>19</v>
      </c>
      <c r="B11">
        <v>45689</v>
      </c>
      <c r="C11" t="s">
        <v>20</v>
      </c>
      <c r="D11" t="s">
        <v>21</v>
      </c>
      <c r="E11">
        <f t="shared" si="0"/>
        <v>1</v>
      </c>
      <c r="F11">
        <f t="shared" si="1"/>
        <v>0</v>
      </c>
      <c r="G11">
        <f t="shared" si="2"/>
        <v>0</v>
      </c>
      <c r="H11">
        <f t="shared" si="3"/>
        <v>0</v>
      </c>
      <c r="I11">
        <f t="shared" si="4"/>
        <v>1</v>
      </c>
      <c r="J11">
        <f t="shared" si="5"/>
        <v>0</v>
      </c>
    </row>
    <row r="12" spans="1:10" x14ac:dyDescent="0.3">
      <c r="A12" t="s">
        <v>19</v>
      </c>
      <c r="B12">
        <v>45717</v>
      </c>
      <c r="C12" t="s">
        <v>20</v>
      </c>
      <c r="D12" t="s">
        <v>21</v>
      </c>
      <c r="E12">
        <f t="shared" si="0"/>
        <v>1</v>
      </c>
      <c r="F12">
        <f t="shared" si="1"/>
        <v>0</v>
      </c>
      <c r="G12">
        <f t="shared" si="2"/>
        <v>0</v>
      </c>
      <c r="H12">
        <f t="shared" si="3"/>
        <v>0</v>
      </c>
      <c r="I12">
        <f t="shared" si="4"/>
        <v>1</v>
      </c>
      <c r="J12">
        <f t="shared" si="5"/>
        <v>0</v>
      </c>
    </row>
    <row r="13" spans="1:10" x14ac:dyDescent="0.3">
      <c r="A13" t="s">
        <v>19</v>
      </c>
      <c r="B13">
        <v>45748</v>
      </c>
      <c r="C13" t="s">
        <v>20</v>
      </c>
      <c r="D13" t="s">
        <v>21</v>
      </c>
      <c r="E13">
        <f t="shared" si="0"/>
        <v>1</v>
      </c>
      <c r="F13">
        <f t="shared" si="1"/>
        <v>0</v>
      </c>
      <c r="G13">
        <f t="shared" si="2"/>
        <v>0</v>
      </c>
      <c r="H13">
        <f t="shared" si="3"/>
        <v>0</v>
      </c>
      <c r="I13">
        <f t="shared" si="4"/>
        <v>1</v>
      </c>
      <c r="J13">
        <f t="shared" si="5"/>
        <v>0</v>
      </c>
    </row>
    <row r="14" spans="1:10" x14ac:dyDescent="0.3">
      <c r="A14" t="s">
        <v>22</v>
      </c>
      <c r="B14">
        <v>45658</v>
      </c>
      <c r="C14" t="s">
        <v>15</v>
      </c>
      <c r="D14" t="s">
        <v>16</v>
      </c>
      <c r="E14">
        <f t="shared" si="0"/>
        <v>0</v>
      </c>
      <c r="F14">
        <f t="shared" si="1"/>
        <v>0</v>
      </c>
      <c r="G14">
        <f t="shared" si="2"/>
        <v>0</v>
      </c>
      <c r="H14">
        <f t="shared" si="3"/>
        <v>0</v>
      </c>
      <c r="I14">
        <f t="shared" si="4"/>
        <v>0</v>
      </c>
      <c r="J14">
        <f t="shared" si="5"/>
        <v>0</v>
      </c>
    </row>
    <row r="15" spans="1:10" x14ac:dyDescent="0.3">
      <c r="A15" t="s">
        <v>22</v>
      </c>
      <c r="B15">
        <v>45689</v>
      </c>
      <c r="C15" t="s">
        <v>15</v>
      </c>
      <c r="D15" t="s">
        <v>16</v>
      </c>
      <c r="E15">
        <f t="shared" si="0"/>
        <v>0</v>
      </c>
      <c r="F15">
        <f t="shared" si="1"/>
        <v>0</v>
      </c>
      <c r="G15">
        <f t="shared" si="2"/>
        <v>0</v>
      </c>
      <c r="H15">
        <f t="shared" si="3"/>
        <v>0</v>
      </c>
      <c r="I15">
        <f t="shared" si="4"/>
        <v>0</v>
      </c>
      <c r="J15">
        <f t="shared" si="5"/>
        <v>0</v>
      </c>
    </row>
    <row r="16" spans="1:10" x14ac:dyDescent="0.3">
      <c r="A16" t="s">
        <v>22</v>
      </c>
      <c r="B16">
        <v>45717</v>
      </c>
      <c r="C16" t="s">
        <v>15</v>
      </c>
      <c r="D16" t="s">
        <v>16</v>
      </c>
      <c r="E16">
        <f t="shared" si="0"/>
        <v>0</v>
      </c>
      <c r="F16">
        <f t="shared" si="1"/>
        <v>0</v>
      </c>
      <c r="G16">
        <f t="shared" si="2"/>
        <v>0</v>
      </c>
      <c r="H16">
        <f t="shared" si="3"/>
        <v>0</v>
      </c>
      <c r="I16">
        <f t="shared" si="4"/>
        <v>0</v>
      </c>
      <c r="J16">
        <f t="shared" si="5"/>
        <v>0</v>
      </c>
    </row>
    <row r="17" spans="1:10" x14ac:dyDescent="0.3">
      <c r="A17" t="s">
        <v>22</v>
      </c>
      <c r="B17">
        <v>45748</v>
      </c>
      <c r="C17" t="s">
        <v>15</v>
      </c>
      <c r="D17" t="s">
        <v>16</v>
      </c>
      <c r="E17">
        <f t="shared" si="0"/>
        <v>0</v>
      </c>
      <c r="F17">
        <f t="shared" si="1"/>
        <v>0</v>
      </c>
      <c r="G17">
        <f t="shared" si="2"/>
        <v>0</v>
      </c>
      <c r="H17">
        <f t="shared" si="3"/>
        <v>0</v>
      </c>
      <c r="I17">
        <f t="shared" si="4"/>
        <v>0</v>
      </c>
      <c r="J17">
        <f t="shared" si="5"/>
        <v>0</v>
      </c>
    </row>
    <row r="18" spans="1:10" x14ac:dyDescent="0.3">
      <c r="A18" t="s">
        <v>23</v>
      </c>
      <c r="B18">
        <v>45658</v>
      </c>
      <c r="C18" t="s">
        <v>24</v>
      </c>
      <c r="D18" t="s">
        <v>16</v>
      </c>
      <c r="E18">
        <f t="shared" si="0"/>
        <v>0</v>
      </c>
      <c r="F18">
        <f t="shared" si="1"/>
        <v>1</v>
      </c>
      <c r="G18">
        <f t="shared" si="2"/>
        <v>0</v>
      </c>
      <c r="H18">
        <f t="shared" si="3"/>
        <v>0</v>
      </c>
      <c r="I18">
        <f t="shared" si="4"/>
        <v>0</v>
      </c>
      <c r="J18">
        <f t="shared" si="5"/>
        <v>0</v>
      </c>
    </row>
    <row r="19" spans="1:10" x14ac:dyDescent="0.3">
      <c r="A19" t="s">
        <v>23</v>
      </c>
      <c r="B19">
        <v>45689</v>
      </c>
      <c r="C19" t="s">
        <v>24</v>
      </c>
      <c r="D19" t="s">
        <v>16</v>
      </c>
      <c r="E19">
        <f t="shared" si="0"/>
        <v>0</v>
      </c>
      <c r="F19">
        <f t="shared" si="1"/>
        <v>1</v>
      </c>
      <c r="G19">
        <f t="shared" si="2"/>
        <v>0</v>
      </c>
      <c r="H19">
        <f t="shared" si="3"/>
        <v>0</v>
      </c>
      <c r="I19">
        <f t="shared" si="4"/>
        <v>0</v>
      </c>
      <c r="J19">
        <f t="shared" si="5"/>
        <v>0</v>
      </c>
    </row>
    <row r="20" spans="1:10" x14ac:dyDescent="0.3">
      <c r="A20" t="s">
        <v>23</v>
      </c>
      <c r="B20">
        <v>45717</v>
      </c>
      <c r="C20" t="s">
        <v>24</v>
      </c>
      <c r="D20" t="s">
        <v>16</v>
      </c>
      <c r="E20">
        <f t="shared" si="0"/>
        <v>0</v>
      </c>
      <c r="F20">
        <f t="shared" si="1"/>
        <v>1</v>
      </c>
      <c r="G20">
        <f t="shared" si="2"/>
        <v>0</v>
      </c>
      <c r="H20">
        <f t="shared" si="3"/>
        <v>0</v>
      </c>
      <c r="I20">
        <f t="shared" si="4"/>
        <v>0</v>
      </c>
      <c r="J20">
        <f t="shared" si="5"/>
        <v>0</v>
      </c>
    </row>
    <row r="21" spans="1:10" x14ac:dyDescent="0.3">
      <c r="A21" t="s">
        <v>23</v>
      </c>
      <c r="B21">
        <v>45748</v>
      </c>
      <c r="C21" t="s">
        <v>24</v>
      </c>
      <c r="D21" t="s">
        <v>16</v>
      </c>
      <c r="E21">
        <f t="shared" si="0"/>
        <v>0</v>
      </c>
      <c r="F21">
        <f t="shared" si="1"/>
        <v>1</v>
      </c>
      <c r="G21">
        <f t="shared" si="2"/>
        <v>0</v>
      </c>
      <c r="H21">
        <f t="shared" si="3"/>
        <v>0</v>
      </c>
      <c r="I21">
        <f t="shared" si="4"/>
        <v>0</v>
      </c>
      <c r="J21">
        <f t="shared" si="5"/>
        <v>0</v>
      </c>
    </row>
    <row r="22" spans="1:10" x14ac:dyDescent="0.3">
      <c r="A22" t="s">
        <v>25</v>
      </c>
      <c r="B22">
        <v>45658</v>
      </c>
      <c r="C22" t="s">
        <v>20</v>
      </c>
      <c r="D22" t="s">
        <v>16</v>
      </c>
      <c r="E22">
        <f t="shared" si="0"/>
        <v>1</v>
      </c>
      <c r="F22">
        <f t="shared" si="1"/>
        <v>0</v>
      </c>
      <c r="G22">
        <f t="shared" si="2"/>
        <v>0</v>
      </c>
      <c r="H22">
        <f t="shared" si="3"/>
        <v>0</v>
      </c>
      <c r="I22">
        <f t="shared" si="4"/>
        <v>0</v>
      </c>
      <c r="J22">
        <f t="shared" si="5"/>
        <v>0</v>
      </c>
    </row>
    <row r="23" spans="1:10" x14ac:dyDescent="0.3">
      <c r="A23" t="s">
        <v>25</v>
      </c>
      <c r="B23">
        <v>45689</v>
      </c>
      <c r="C23" t="s">
        <v>20</v>
      </c>
      <c r="D23" t="s">
        <v>16</v>
      </c>
      <c r="E23">
        <f t="shared" si="0"/>
        <v>1</v>
      </c>
      <c r="F23">
        <f t="shared" si="1"/>
        <v>0</v>
      </c>
      <c r="G23">
        <f t="shared" si="2"/>
        <v>0</v>
      </c>
      <c r="H23">
        <f t="shared" si="3"/>
        <v>0</v>
      </c>
      <c r="I23">
        <f t="shared" si="4"/>
        <v>0</v>
      </c>
      <c r="J23">
        <f t="shared" si="5"/>
        <v>0</v>
      </c>
    </row>
    <row r="24" spans="1:10" x14ac:dyDescent="0.3">
      <c r="A24" t="s">
        <v>25</v>
      </c>
      <c r="B24">
        <v>45717</v>
      </c>
      <c r="C24" t="s">
        <v>20</v>
      </c>
      <c r="D24" t="s">
        <v>16</v>
      </c>
      <c r="E24">
        <f t="shared" si="0"/>
        <v>1</v>
      </c>
      <c r="F24">
        <f t="shared" si="1"/>
        <v>0</v>
      </c>
      <c r="G24">
        <f t="shared" si="2"/>
        <v>0</v>
      </c>
      <c r="H24">
        <f t="shared" si="3"/>
        <v>0</v>
      </c>
      <c r="I24">
        <f t="shared" si="4"/>
        <v>0</v>
      </c>
      <c r="J24">
        <f t="shared" si="5"/>
        <v>0</v>
      </c>
    </row>
    <row r="25" spans="1:10" x14ac:dyDescent="0.3">
      <c r="A25" t="s">
        <v>25</v>
      </c>
      <c r="B25">
        <v>45748</v>
      </c>
      <c r="C25" t="s">
        <v>20</v>
      </c>
      <c r="D25" t="s">
        <v>16</v>
      </c>
      <c r="E25">
        <f t="shared" si="0"/>
        <v>1</v>
      </c>
      <c r="F25">
        <f t="shared" si="1"/>
        <v>0</v>
      </c>
      <c r="G25">
        <f t="shared" si="2"/>
        <v>0</v>
      </c>
      <c r="H25">
        <f t="shared" si="3"/>
        <v>0</v>
      </c>
      <c r="I25">
        <f t="shared" si="4"/>
        <v>0</v>
      </c>
      <c r="J25">
        <f t="shared" si="5"/>
        <v>0</v>
      </c>
    </row>
    <row r="26" spans="1:10" x14ac:dyDescent="0.3">
      <c r="A26" t="s">
        <v>26</v>
      </c>
      <c r="B26">
        <v>45658</v>
      </c>
      <c r="C26" t="s">
        <v>27</v>
      </c>
      <c r="D26" t="s">
        <v>28</v>
      </c>
      <c r="E26">
        <f t="shared" si="0"/>
        <v>0</v>
      </c>
      <c r="F26">
        <f t="shared" si="1"/>
        <v>0</v>
      </c>
      <c r="G26">
        <f t="shared" si="2"/>
        <v>1</v>
      </c>
      <c r="H26">
        <f t="shared" si="3"/>
        <v>0</v>
      </c>
      <c r="I26">
        <f t="shared" si="4"/>
        <v>0</v>
      </c>
      <c r="J26">
        <f t="shared" si="5"/>
        <v>1</v>
      </c>
    </row>
    <row r="27" spans="1:10" x14ac:dyDescent="0.3">
      <c r="A27" t="s">
        <v>26</v>
      </c>
      <c r="B27">
        <v>45689</v>
      </c>
      <c r="C27" t="s">
        <v>27</v>
      </c>
      <c r="D27" t="s">
        <v>28</v>
      </c>
      <c r="E27">
        <f t="shared" si="0"/>
        <v>0</v>
      </c>
      <c r="F27">
        <f t="shared" si="1"/>
        <v>0</v>
      </c>
      <c r="G27">
        <f t="shared" si="2"/>
        <v>1</v>
      </c>
      <c r="H27">
        <f t="shared" si="3"/>
        <v>0</v>
      </c>
      <c r="I27">
        <f t="shared" si="4"/>
        <v>0</v>
      </c>
      <c r="J27">
        <f t="shared" si="5"/>
        <v>1</v>
      </c>
    </row>
    <row r="28" spans="1:10" x14ac:dyDescent="0.3">
      <c r="A28" t="s">
        <v>26</v>
      </c>
      <c r="B28">
        <v>45717</v>
      </c>
      <c r="C28" t="s">
        <v>27</v>
      </c>
      <c r="D28" t="s">
        <v>28</v>
      </c>
      <c r="E28">
        <f t="shared" si="0"/>
        <v>0</v>
      </c>
      <c r="F28">
        <f t="shared" si="1"/>
        <v>0</v>
      </c>
      <c r="G28">
        <f t="shared" si="2"/>
        <v>1</v>
      </c>
      <c r="H28">
        <f t="shared" si="3"/>
        <v>0</v>
      </c>
      <c r="I28">
        <f t="shared" si="4"/>
        <v>0</v>
      </c>
      <c r="J28">
        <f t="shared" si="5"/>
        <v>1</v>
      </c>
    </row>
    <row r="29" spans="1:10" x14ac:dyDescent="0.3">
      <c r="A29" t="s">
        <v>26</v>
      </c>
      <c r="B29">
        <v>45748</v>
      </c>
      <c r="C29" t="s">
        <v>27</v>
      </c>
      <c r="D29" t="s">
        <v>28</v>
      </c>
      <c r="E29">
        <f t="shared" si="0"/>
        <v>0</v>
      </c>
      <c r="F29">
        <f t="shared" si="1"/>
        <v>0</v>
      </c>
      <c r="G29">
        <f t="shared" si="2"/>
        <v>1</v>
      </c>
      <c r="H29">
        <f t="shared" si="3"/>
        <v>0</v>
      </c>
      <c r="I29">
        <f t="shared" si="4"/>
        <v>0</v>
      </c>
      <c r="J29">
        <f t="shared" si="5"/>
        <v>1</v>
      </c>
    </row>
    <row r="30" spans="1:10" x14ac:dyDescent="0.3">
      <c r="A30" t="s">
        <v>29</v>
      </c>
      <c r="B30">
        <v>45658</v>
      </c>
      <c r="C30" t="s">
        <v>15</v>
      </c>
      <c r="D30" t="s">
        <v>16</v>
      </c>
      <c r="E30">
        <f t="shared" si="0"/>
        <v>0</v>
      </c>
      <c r="F30">
        <f t="shared" si="1"/>
        <v>0</v>
      </c>
      <c r="G30">
        <f t="shared" si="2"/>
        <v>0</v>
      </c>
      <c r="H30">
        <f t="shared" si="3"/>
        <v>0</v>
      </c>
      <c r="I30">
        <f t="shared" si="4"/>
        <v>0</v>
      </c>
      <c r="J30">
        <f t="shared" si="5"/>
        <v>0</v>
      </c>
    </row>
    <row r="31" spans="1:10" x14ac:dyDescent="0.3">
      <c r="A31" t="s">
        <v>29</v>
      </c>
      <c r="B31">
        <v>45689</v>
      </c>
      <c r="C31" t="s">
        <v>15</v>
      </c>
      <c r="D31" t="s">
        <v>16</v>
      </c>
      <c r="E31">
        <f t="shared" si="0"/>
        <v>0</v>
      </c>
      <c r="F31">
        <f t="shared" si="1"/>
        <v>0</v>
      </c>
      <c r="G31">
        <f t="shared" si="2"/>
        <v>0</v>
      </c>
      <c r="H31">
        <f t="shared" si="3"/>
        <v>0</v>
      </c>
      <c r="I31">
        <f t="shared" si="4"/>
        <v>0</v>
      </c>
      <c r="J31">
        <f t="shared" si="5"/>
        <v>0</v>
      </c>
    </row>
    <row r="32" spans="1:10" x14ac:dyDescent="0.3">
      <c r="A32" t="s">
        <v>29</v>
      </c>
      <c r="B32">
        <v>45717</v>
      </c>
      <c r="C32" t="s">
        <v>15</v>
      </c>
      <c r="D32" t="s">
        <v>16</v>
      </c>
      <c r="E32">
        <f t="shared" si="0"/>
        <v>0</v>
      </c>
      <c r="F32">
        <f t="shared" si="1"/>
        <v>0</v>
      </c>
      <c r="G32">
        <f t="shared" si="2"/>
        <v>0</v>
      </c>
      <c r="H32">
        <f t="shared" si="3"/>
        <v>0</v>
      </c>
      <c r="I32">
        <f t="shared" si="4"/>
        <v>0</v>
      </c>
      <c r="J32">
        <f t="shared" si="5"/>
        <v>0</v>
      </c>
    </row>
    <row r="33" spans="1:10" x14ac:dyDescent="0.3">
      <c r="A33" t="s">
        <v>29</v>
      </c>
      <c r="B33">
        <v>45748</v>
      </c>
      <c r="C33" t="s">
        <v>15</v>
      </c>
      <c r="D33" t="s">
        <v>16</v>
      </c>
      <c r="E33">
        <f t="shared" si="0"/>
        <v>0</v>
      </c>
      <c r="F33">
        <f t="shared" si="1"/>
        <v>0</v>
      </c>
      <c r="G33">
        <f t="shared" si="2"/>
        <v>0</v>
      </c>
      <c r="H33">
        <f t="shared" si="3"/>
        <v>0</v>
      </c>
      <c r="I33">
        <f t="shared" si="4"/>
        <v>0</v>
      </c>
      <c r="J33">
        <f t="shared" si="5"/>
        <v>0</v>
      </c>
    </row>
    <row r="34" spans="1:10" x14ac:dyDescent="0.3">
      <c r="A34" t="s">
        <v>30</v>
      </c>
      <c r="B34">
        <v>45658</v>
      </c>
      <c r="C34" t="s">
        <v>20</v>
      </c>
      <c r="D34" t="s">
        <v>16</v>
      </c>
      <c r="E34">
        <f t="shared" si="0"/>
        <v>1</v>
      </c>
      <c r="F34">
        <f t="shared" si="1"/>
        <v>0</v>
      </c>
      <c r="G34">
        <f t="shared" si="2"/>
        <v>0</v>
      </c>
      <c r="H34">
        <f t="shared" si="3"/>
        <v>0</v>
      </c>
      <c r="I34">
        <f t="shared" si="4"/>
        <v>0</v>
      </c>
      <c r="J34">
        <f t="shared" si="5"/>
        <v>0</v>
      </c>
    </row>
    <row r="35" spans="1:10" x14ac:dyDescent="0.3">
      <c r="A35" t="s">
        <v>30</v>
      </c>
      <c r="B35">
        <v>45689</v>
      </c>
      <c r="C35" t="s">
        <v>20</v>
      </c>
      <c r="D35" t="s">
        <v>16</v>
      </c>
      <c r="E35">
        <f t="shared" si="0"/>
        <v>1</v>
      </c>
      <c r="F35">
        <f t="shared" si="1"/>
        <v>0</v>
      </c>
      <c r="G35">
        <f t="shared" si="2"/>
        <v>0</v>
      </c>
      <c r="H35">
        <f t="shared" si="3"/>
        <v>0</v>
      </c>
      <c r="I35">
        <f t="shared" si="4"/>
        <v>0</v>
      </c>
      <c r="J35">
        <f t="shared" si="5"/>
        <v>0</v>
      </c>
    </row>
    <row r="36" spans="1:10" x14ac:dyDescent="0.3">
      <c r="A36" t="s">
        <v>30</v>
      </c>
      <c r="B36">
        <v>45717</v>
      </c>
      <c r="C36" t="s">
        <v>20</v>
      </c>
      <c r="D36" t="s">
        <v>16</v>
      </c>
      <c r="E36">
        <f t="shared" si="0"/>
        <v>1</v>
      </c>
      <c r="F36">
        <f t="shared" si="1"/>
        <v>0</v>
      </c>
      <c r="G36">
        <f t="shared" si="2"/>
        <v>0</v>
      </c>
      <c r="H36">
        <f t="shared" si="3"/>
        <v>0</v>
      </c>
      <c r="I36">
        <f t="shared" si="4"/>
        <v>0</v>
      </c>
      <c r="J36">
        <f t="shared" si="5"/>
        <v>0</v>
      </c>
    </row>
    <row r="37" spans="1:10" x14ac:dyDescent="0.3">
      <c r="A37" t="s">
        <v>30</v>
      </c>
      <c r="B37">
        <v>45748</v>
      </c>
      <c r="C37" t="s">
        <v>20</v>
      </c>
      <c r="D37" t="s">
        <v>16</v>
      </c>
      <c r="E37">
        <f t="shared" si="0"/>
        <v>1</v>
      </c>
      <c r="F37">
        <f t="shared" si="1"/>
        <v>0</v>
      </c>
      <c r="G37">
        <f t="shared" si="2"/>
        <v>0</v>
      </c>
      <c r="H37">
        <f t="shared" si="3"/>
        <v>0</v>
      </c>
      <c r="I37">
        <f t="shared" si="4"/>
        <v>0</v>
      </c>
      <c r="J37">
        <f t="shared" si="5"/>
        <v>0</v>
      </c>
    </row>
    <row r="38" spans="1:10" x14ac:dyDescent="0.3">
      <c r="A38" t="s">
        <v>31</v>
      </c>
      <c r="B38">
        <v>45658</v>
      </c>
      <c r="C38" t="s">
        <v>20</v>
      </c>
      <c r="D38" t="s">
        <v>28</v>
      </c>
      <c r="E38">
        <f t="shared" si="0"/>
        <v>1</v>
      </c>
      <c r="F38">
        <f t="shared" si="1"/>
        <v>0</v>
      </c>
      <c r="G38">
        <f t="shared" si="2"/>
        <v>0</v>
      </c>
      <c r="H38">
        <f t="shared" si="3"/>
        <v>0</v>
      </c>
      <c r="I38">
        <f t="shared" si="4"/>
        <v>0</v>
      </c>
      <c r="J38">
        <f t="shared" si="5"/>
        <v>1</v>
      </c>
    </row>
    <row r="39" spans="1:10" x14ac:dyDescent="0.3">
      <c r="A39" t="s">
        <v>31</v>
      </c>
      <c r="B39">
        <v>45689</v>
      </c>
      <c r="C39" t="s">
        <v>20</v>
      </c>
      <c r="D39" t="s">
        <v>28</v>
      </c>
      <c r="E39">
        <f t="shared" si="0"/>
        <v>1</v>
      </c>
      <c r="F39">
        <f t="shared" si="1"/>
        <v>0</v>
      </c>
      <c r="G39">
        <f t="shared" si="2"/>
        <v>0</v>
      </c>
      <c r="H39">
        <f t="shared" si="3"/>
        <v>0</v>
      </c>
      <c r="I39">
        <f t="shared" si="4"/>
        <v>0</v>
      </c>
      <c r="J39">
        <f t="shared" si="5"/>
        <v>1</v>
      </c>
    </row>
    <row r="40" spans="1:10" x14ac:dyDescent="0.3">
      <c r="A40" t="s">
        <v>31</v>
      </c>
      <c r="B40">
        <v>45717</v>
      </c>
      <c r="C40" t="s">
        <v>20</v>
      </c>
      <c r="D40" t="s">
        <v>28</v>
      </c>
      <c r="E40">
        <f t="shared" si="0"/>
        <v>1</v>
      </c>
      <c r="F40">
        <f t="shared" si="1"/>
        <v>0</v>
      </c>
      <c r="G40">
        <f t="shared" si="2"/>
        <v>0</v>
      </c>
      <c r="H40">
        <f t="shared" si="3"/>
        <v>0</v>
      </c>
      <c r="I40">
        <f t="shared" si="4"/>
        <v>0</v>
      </c>
      <c r="J40">
        <f t="shared" si="5"/>
        <v>1</v>
      </c>
    </row>
    <row r="41" spans="1:10" x14ac:dyDescent="0.3">
      <c r="A41" t="s">
        <v>31</v>
      </c>
      <c r="B41">
        <v>45748</v>
      </c>
      <c r="C41" t="s">
        <v>20</v>
      </c>
      <c r="D41" t="s">
        <v>28</v>
      </c>
      <c r="E41">
        <f t="shared" si="0"/>
        <v>1</v>
      </c>
      <c r="F41">
        <f t="shared" si="1"/>
        <v>0</v>
      </c>
      <c r="G41">
        <f t="shared" si="2"/>
        <v>0</v>
      </c>
      <c r="H41">
        <f t="shared" si="3"/>
        <v>0</v>
      </c>
      <c r="I41">
        <f t="shared" si="4"/>
        <v>0</v>
      </c>
      <c r="J41">
        <f t="shared" si="5"/>
        <v>1</v>
      </c>
    </row>
    <row r="42" spans="1:10" x14ac:dyDescent="0.3">
      <c r="A42" t="s">
        <v>32</v>
      </c>
      <c r="B42">
        <v>45658</v>
      </c>
      <c r="C42" t="s">
        <v>15</v>
      </c>
      <c r="D42" t="s">
        <v>28</v>
      </c>
      <c r="E42">
        <f t="shared" si="0"/>
        <v>0</v>
      </c>
      <c r="F42">
        <f t="shared" si="1"/>
        <v>0</v>
      </c>
      <c r="G42">
        <f t="shared" si="2"/>
        <v>0</v>
      </c>
      <c r="H42">
        <f t="shared" si="3"/>
        <v>0</v>
      </c>
      <c r="I42">
        <f t="shared" si="4"/>
        <v>0</v>
      </c>
      <c r="J42">
        <f t="shared" si="5"/>
        <v>1</v>
      </c>
    </row>
    <row r="43" spans="1:10" x14ac:dyDescent="0.3">
      <c r="A43" t="s">
        <v>32</v>
      </c>
      <c r="B43">
        <v>45689</v>
      </c>
      <c r="C43" t="s">
        <v>15</v>
      </c>
      <c r="D43" t="s">
        <v>28</v>
      </c>
      <c r="E43">
        <f t="shared" si="0"/>
        <v>0</v>
      </c>
      <c r="F43">
        <f t="shared" si="1"/>
        <v>0</v>
      </c>
      <c r="G43">
        <f t="shared" si="2"/>
        <v>0</v>
      </c>
      <c r="H43">
        <f t="shared" si="3"/>
        <v>0</v>
      </c>
      <c r="I43">
        <f t="shared" si="4"/>
        <v>0</v>
      </c>
      <c r="J43">
        <f t="shared" si="5"/>
        <v>1</v>
      </c>
    </row>
    <row r="44" spans="1:10" x14ac:dyDescent="0.3">
      <c r="A44" t="s">
        <v>32</v>
      </c>
      <c r="B44">
        <v>45717</v>
      </c>
      <c r="C44" t="s">
        <v>15</v>
      </c>
      <c r="D44" t="s">
        <v>28</v>
      </c>
      <c r="E44">
        <f t="shared" si="0"/>
        <v>0</v>
      </c>
      <c r="F44">
        <f t="shared" si="1"/>
        <v>0</v>
      </c>
      <c r="G44">
        <f t="shared" si="2"/>
        <v>0</v>
      </c>
      <c r="H44">
        <f t="shared" si="3"/>
        <v>0</v>
      </c>
      <c r="I44">
        <f t="shared" si="4"/>
        <v>0</v>
      </c>
      <c r="J44">
        <f t="shared" si="5"/>
        <v>1</v>
      </c>
    </row>
    <row r="45" spans="1:10" x14ac:dyDescent="0.3">
      <c r="A45" t="s">
        <v>32</v>
      </c>
      <c r="B45">
        <v>45748</v>
      </c>
      <c r="C45" t="s">
        <v>15</v>
      </c>
      <c r="D45" t="s">
        <v>28</v>
      </c>
      <c r="E45">
        <f t="shared" si="0"/>
        <v>0</v>
      </c>
      <c r="F45">
        <f t="shared" si="1"/>
        <v>0</v>
      </c>
      <c r="G45">
        <f t="shared" si="2"/>
        <v>0</v>
      </c>
      <c r="H45">
        <f t="shared" si="3"/>
        <v>0</v>
      </c>
      <c r="I45">
        <f t="shared" si="4"/>
        <v>0</v>
      </c>
      <c r="J45">
        <f t="shared" si="5"/>
        <v>1</v>
      </c>
    </row>
    <row r="46" spans="1:10" x14ac:dyDescent="0.3">
      <c r="A46" t="s">
        <v>33</v>
      </c>
      <c r="B46">
        <v>45658</v>
      </c>
      <c r="C46" t="s">
        <v>27</v>
      </c>
      <c r="D46" t="s">
        <v>16</v>
      </c>
      <c r="E46">
        <f t="shared" si="0"/>
        <v>0</v>
      </c>
      <c r="F46">
        <f t="shared" si="1"/>
        <v>0</v>
      </c>
      <c r="G46">
        <f t="shared" si="2"/>
        <v>1</v>
      </c>
      <c r="H46">
        <f t="shared" si="3"/>
        <v>0</v>
      </c>
      <c r="I46">
        <f t="shared" si="4"/>
        <v>0</v>
      </c>
      <c r="J46">
        <f t="shared" si="5"/>
        <v>0</v>
      </c>
    </row>
    <row r="47" spans="1:10" x14ac:dyDescent="0.3">
      <c r="A47" t="s">
        <v>33</v>
      </c>
      <c r="B47">
        <v>45689</v>
      </c>
      <c r="C47" t="s">
        <v>27</v>
      </c>
      <c r="D47" t="s">
        <v>16</v>
      </c>
      <c r="E47">
        <f t="shared" si="0"/>
        <v>0</v>
      </c>
      <c r="F47">
        <f t="shared" si="1"/>
        <v>0</v>
      </c>
      <c r="G47">
        <f t="shared" si="2"/>
        <v>1</v>
      </c>
      <c r="H47">
        <f t="shared" si="3"/>
        <v>0</v>
      </c>
      <c r="I47">
        <f t="shared" si="4"/>
        <v>0</v>
      </c>
      <c r="J47">
        <f t="shared" si="5"/>
        <v>0</v>
      </c>
    </row>
    <row r="48" spans="1:10" x14ac:dyDescent="0.3">
      <c r="A48" t="s">
        <v>33</v>
      </c>
      <c r="B48">
        <v>45717</v>
      </c>
      <c r="C48" t="s">
        <v>27</v>
      </c>
      <c r="D48" t="s">
        <v>16</v>
      </c>
      <c r="E48">
        <f t="shared" si="0"/>
        <v>0</v>
      </c>
      <c r="F48">
        <f t="shared" si="1"/>
        <v>0</v>
      </c>
      <c r="G48">
        <f t="shared" si="2"/>
        <v>1</v>
      </c>
      <c r="H48">
        <f t="shared" si="3"/>
        <v>0</v>
      </c>
      <c r="I48">
        <f t="shared" si="4"/>
        <v>0</v>
      </c>
      <c r="J48">
        <f t="shared" si="5"/>
        <v>0</v>
      </c>
    </row>
    <row r="49" spans="1:10" x14ac:dyDescent="0.3">
      <c r="A49" t="s">
        <v>33</v>
      </c>
      <c r="B49">
        <v>45748</v>
      </c>
      <c r="C49" t="s">
        <v>27</v>
      </c>
      <c r="D49" t="s">
        <v>16</v>
      </c>
      <c r="E49">
        <f t="shared" si="0"/>
        <v>0</v>
      </c>
      <c r="F49">
        <f t="shared" si="1"/>
        <v>0</v>
      </c>
      <c r="G49">
        <f t="shared" si="2"/>
        <v>1</v>
      </c>
      <c r="H49">
        <f t="shared" si="3"/>
        <v>0</v>
      </c>
      <c r="I49">
        <f t="shared" si="4"/>
        <v>0</v>
      </c>
      <c r="J49">
        <f t="shared" si="5"/>
        <v>0</v>
      </c>
    </row>
    <row r="50" spans="1:10" x14ac:dyDescent="0.3">
      <c r="A50" t="s">
        <v>34</v>
      </c>
      <c r="B50">
        <v>45658</v>
      </c>
      <c r="C50" t="s">
        <v>20</v>
      </c>
      <c r="D50" t="s">
        <v>28</v>
      </c>
      <c r="E50">
        <f t="shared" si="0"/>
        <v>1</v>
      </c>
      <c r="F50">
        <f t="shared" si="1"/>
        <v>0</v>
      </c>
      <c r="G50">
        <f t="shared" si="2"/>
        <v>0</v>
      </c>
      <c r="H50">
        <f t="shared" si="3"/>
        <v>0</v>
      </c>
      <c r="I50">
        <f t="shared" si="4"/>
        <v>0</v>
      </c>
      <c r="J50">
        <f t="shared" si="5"/>
        <v>1</v>
      </c>
    </row>
    <row r="51" spans="1:10" x14ac:dyDescent="0.3">
      <c r="A51" t="s">
        <v>34</v>
      </c>
      <c r="B51">
        <v>45689</v>
      </c>
      <c r="C51" t="s">
        <v>20</v>
      </c>
      <c r="D51" t="s">
        <v>28</v>
      </c>
      <c r="E51">
        <f t="shared" si="0"/>
        <v>1</v>
      </c>
      <c r="F51">
        <f t="shared" si="1"/>
        <v>0</v>
      </c>
      <c r="G51">
        <f t="shared" si="2"/>
        <v>0</v>
      </c>
      <c r="H51">
        <f t="shared" si="3"/>
        <v>0</v>
      </c>
      <c r="I51">
        <f t="shared" si="4"/>
        <v>0</v>
      </c>
      <c r="J51">
        <f t="shared" si="5"/>
        <v>1</v>
      </c>
    </row>
    <row r="52" spans="1:10" x14ac:dyDescent="0.3">
      <c r="A52" t="s">
        <v>34</v>
      </c>
      <c r="B52">
        <v>45717</v>
      </c>
      <c r="C52" t="s">
        <v>20</v>
      </c>
      <c r="D52" t="s">
        <v>28</v>
      </c>
      <c r="E52">
        <f t="shared" si="0"/>
        <v>1</v>
      </c>
      <c r="F52">
        <f t="shared" si="1"/>
        <v>0</v>
      </c>
      <c r="G52">
        <f t="shared" si="2"/>
        <v>0</v>
      </c>
      <c r="H52">
        <f t="shared" si="3"/>
        <v>0</v>
      </c>
      <c r="I52">
        <f t="shared" si="4"/>
        <v>0</v>
      </c>
      <c r="J52">
        <f t="shared" si="5"/>
        <v>1</v>
      </c>
    </row>
    <row r="53" spans="1:10" x14ac:dyDescent="0.3">
      <c r="A53" t="s">
        <v>34</v>
      </c>
      <c r="B53">
        <v>45748</v>
      </c>
      <c r="C53" t="s">
        <v>20</v>
      </c>
      <c r="D53" t="s">
        <v>28</v>
      </c>
      <c r="E53">
        <f t="shared" si="0"/>
        <v>1</v>
      </c>
      <c r="F53">
        <f t="shared" si="1"/>
        <v>0</v>
      </c>
      <c r="G53">
        <f t="shared" si="2"/>
        <v>0</v>
      </c>
      <c r="H53">
        <f t="shared" si="3"/>
        <v>0</v>
      </c>
      <c r="I53">
        <f t="shared" si="4"/>
        <v>0</v>
      </c>
      <c r="J53">
        <f t="shared" si="5"/>
        <v>1</v>
      </c>
    </row>
    <row r="54" spans="1:10" x14ac:dyDescent="0.3">
      <c r="A54" t="s">
        <v>35</v>
      </c>
      <c r="B54">
        <v>45658</v>
      </c>
      <c r="C54" t="s">
        <v>27</v>
      </c>
      <c r="D54" t="s">
        <v>18</v>
      </c>
      <c r="E54">
        <f t="shared" si="0"/>
        <v>0</v>
      </c>
      <c r="F54">
        <f t="shared" si="1"/>
        <v>0</v>
      </c>
      <c r="G54">
        <f t="shared" si="2"/>
        <v>1</v>
      </c>
      <c r="H54">
        <f t="shared" si="3"/>
        <v>1</v>
      </c>
      <c r="I54">
        <f t="shared" si="4"/>
        <v>0</v>
      </c>
      <c r="J54">
        <f t="shared" si="5"/>
        <v>0</v>
      </c>
    </row>
    <row r="55" spans="1:10" x14ac:dyDescent="0.3">
      <c r="A55" t="s">
        <v>35</v>
      </c>
      <c r="B55">
        <v>45689</v>
      </c>
      <c r="C55" t="s">
        <v>27</v>
      </c>
      <c r="D55" t="s">
        <v>18</v>
      </c>
      <c r="E55">
        <f t="shared" si="0"/>
        <v>0</v>
      </c>
      <c r="F55">
        <f t="shared" si="1"/>
        <v>0</v>
      </c>
      <c r="G55">
        <f t="shared" si="2"/>
        <v>1</v>
      </c>
      <c r="H55">
        <f t="shared" si="3"/>
        <v>1</v>
      </c>
      <c r="I55">
        <f t="shared" si="4"/>
        <v>0</v>
      </c>
      <c r="J55">
        <f t="shared" si="5"/>
        <v>0</v>
      </c>
    </row>
    <row r="56" spans="1:10" x14ac:dyDescent="0.3">
      <c r="A56" t="s">
        <v>35</v>
      </c>
      <c r="B56">
        <v>45717</v>
      </c>
      <c r="C56" t="s">
        <v>27</v>
      </c>
      <c r="D56" t="s">
        <v>18</v>
      </c>
      <c r="E56">
        <f t="shared" si="0"/>
        <v>0</v>
      </c>
      <c r="F56">
        <f t="shared" si="1"/>
        <v>0</v>
      </c>
      <c r="G56">
        <f t="shared" si="2"/>
        <v>1</v>
      </c>
      <c r="H56">
        <f t="shared" si="3"/>
        <v>1</v>
      </c>
      <c r="I56">
        <f t="shared" si="4"/>
        <v>0</v>
      </c>
      <c r="J56">
        <f t="shared" si="5"/>
        <v>0</v>
      </c>
    </row>
    <row r="57" spans="1:10" x14ac:dyDescent="0.3">
      <c r="A57" t="s">
        <v>35</v>
      </c>
      <c r="B57">
        <v>45748</v>
      </c>
      <c r="C57" t="s">
        <v>27</v>
      </c>
      <c r="D57" t="s">
        <v>18</v>
      </c>
      <c r="E57">
        <f t="shared" si="0"/>
        <v>0</v>
      </c>
      <c r="F57">
        <f t="shared" si="1"/>
        <v>0</v>
      </c>
      <c r="G57">
        <f t="shared" si="2"/>
        <v>1</v>
      </c>
      <c r="H57">
        <f t="shared" si="3"/>
        <v>1</v>
      </c>
      <c r="I57">
        <f t="shared" si="4"/>
        <v>0</v>
      </c>
      <c r="J57">
        <f t="shared" si="5"/>
        <v>0</v>
      </c>
    </row>
    <row r="58" spans="1:10" x14ac:dyDescent="0.3">
      <c r="A58" t="s">
        <v>36</v>
      </c>
      <c r="B58">
        <v>45658</v>
      </c>
      <c r="C58" t="s">
        <v>15</v>
      </c>
      <c r="D58" t="s">
        <v>21</v>
      </c>
      <c r="E58">
        <f t="shared" si="0"/>
        <v>0</v>
      </c>
      <c r="F58">
        <f t="shared" si="1"/>
        <v>0</v>
      </c>
      <c r="G58">
        <f t="shared" si="2"/>
        <v>0</v>
      </c>
      <c r="H58">
        <f t="shared" si="3"/>
        <v>0</v>
      </c>
      <c r="I58">
        <f t="shared" si="4"/>
        <v>1</v>
      </c>
      <c r="J58">
        <f t="shared" si="5"/>
        <v>0</v>
      </c>
    </row>
    <row r="59" spans="1:10" x14ac:dyDescent="0.3">
      <c r="A59" t="s">
        <v>36</v>
      </c>
      <c r="B59">
        <v>45689</v>
      </c>
      <c r="C59" t="s">
        <v>15</v>
      </c>
      <c r="D59" t="s">
        <v>21</v>
      </c>
      <c r="E59">
        <f t="shared" si="0"/>
        <v>0</v>
      </c>
      <c r="F59">
        <f t="shared" si="1"/>
        <v>0</v>
      </c>
      <c r="G59">
        <f t="shared" si="2"/>
        <v>0</v>
      </c>
      <c r="H59">
        <f t="shared" si="3"/>
        <v>0</v>
      </c>
      <c r="I59">
        <f t="shared" si="4"/>
        <v>1</v>
      </c>
      <c r="J59">
        <f t="shared" si="5"/>
        <v>0</v>
      </c>
    </row>
    <row r="60" spans="1:10" x14ac:dyDescent="0.3">
      <c r="A60" t="s">
        <v>36</v>
      </c>
      <c r="B60">
        <v>45717</v>
      </c>
      <c r="C60" t="s">
        <v>15</v>
      </c>
      <c r="D60" t="s">
        <v>21</v>
      </c>
      <c r="E60">
        <f t="shared" si="0"/>
        <v>0</v>
      </c>
      <c r="F60">
        <f t="shared" si="1"/>
        <v>0</v>
      </c>
      <c r="G60">
        <f t="shared" si="2"/>
        <v>0</v>
      </c>
      <c r="H60">
        <f t="shared" si="3"/>
        <v>0</v>
      </c>
      <c r="I60">
        <f t="shared" si="4"/>
        <v>1</v>
      </c>
      <c r="J60">
        <f t="shared" si="5"/>
        <v>0</v>
      </c>
    </row>
    <row r="61" spans="1:10" x14ac:dyDescent="0.3">
      <c r="A61" t="s">
        <v>36</v>
      </c>
      <c r="B61">
        <v>45748</v>
      </c>
      <c r="C61" t="s">
        <v>15</v>
      </c>
      <c r="D61" t="s">
        <v>21</v>
      </c>
      <c r="E61">
        <f t="shared" si="0"/>
        <v>0</v>
      </c>
      <c r="F61">
        <f t="shared" si="1"/>
        <v>0</v>
      </c>
      <c r="G61">
        <f t="shared" si="2"/>
        <v>0</v>
      </c>
      <c r="H61">
        <f t="shared" si="3"/>
        <v>0</v>
      </c>
      <c r="I61">
        <f t="shared" si="4"/>
        <v>1</v>
      </c>
      <c r="J61">
        <f t="shared" si="5"/>
        <v>0</v>
      </c>
    </row>
    <row r="62" spans="1:10" x14ac:dyDescent="0.3">
      <c r="A62" t="s">
        <v>37</v>
      </c>
      <c r="B62">
        <v>45658</v>
      </c>
      <c r="C62" t="s">
        <v>24</v>
      </c>
      <c r="D62" t="s">
        <v>18</v>
      </c>
      <c r="E62">
        <f t="shared" si="0"/>
        <v>0</v>
      </c>
      <c r="F62">
        <f t="shared" si="1"/>
        <v>1</v>
      </c>
      <c r="G62">
        <f t="shared" si="2"/>
        <v>0</v>
      </c>
      <c r="H62">
        <f t="shared" si="3"/>
        <v>1</v>
      </c>
      <c r="I62">
        <f t="shared" si="4"/>
        <v>0</v>
      </c>
      <c r="J62">
        <f t="shared" si="5"/>
        <v>0</v>
      </c>
    </row>
    <row r="63" spans="1:10" x14ac:dyDescent="0.3">
      <c r="A63" t="s">
        <v>37</v>
      </c>
      <c r="B63">
        <v>45689</v>
      </c>
      <c r="C63" t="s">
        <v>24</v>
      </c>
      <c r="D63" t="s">
        <v>18</v>
      </c>
      <c r="E63">
        <f t="shared" si="0"/>
        <v>0</v>
      </c>
      <c r="F63">
        <f t="shared" si="1"/>
        <v>1</v>
      </c>
      <c r="G63">
        <f t="shared" si="2"/>
        <v>0</v>
      </c>
      <c r="H63">
        <f t="shared" si="3"/>
        <v>1</v>
      </c>
      <c r="I63">
        <f t="shared" si="4"/>
        <v>0</v>
      </c>
      <c r="J63">
        <f t="shared" si="5"/>
        <v>0</v>
      </c>
    </row>
    <row r="64" spans="1:10" x14ac:dyDescent="0.3">
      <c r="A64" t="s">
        <v>37</v>
      </c>
      <c r="B64">
        <v>45717</v>
      </c>
      <c r="C64" t="s">
        <v>24</v>
      </c>
      <c r="D64" t="s">
        <v>18</v>
      </c>
      <c r="E64">
        <f t="shared" si="0"/>
        <v>0</v>
      </c>
      <c r="F64">
        <f t="shared" si="1"/>
        <v>1</v>
      </c>
      <c r="G64">
        <f t="shared" si="2"/>
        <v>0</v>
      </c>
      <c r="H64">
        <f t="shared" si="3"/>
        <v>1</v>
      </c>
      <c r="I64">
        <f t="shared" si="4"/>
        <v>0</v>
      </c>
      <c r="J64">
        <f t="shared" si="5"/>
        <v>0</v>
      </c>
    </row>
    <row r="65" spans="1:10" x14ac:dyDescent="0.3">
      <c r="A65" t="s">
        <v>37</v>
      </c>
      <c r="B65">
        <v>45748</v>
      </c>
      <c r="C65" t="s">
        <v>24</v>
      </c>
      <c r="D65" t="s">
        <v>18</v>
      </c>
      <c r="E65">
        <f t="shared" si="0"/>
        <v>0</v>
      </c>
      <c r="F65">
        <f t="shared" si="1"/>
        <v>1</v>
      </c>
      <c r="G65">
        <f t="shared" si="2"/>
        <v>0</v>
      </c>
      <c r="H65">
        <f t="shared" si="3"/>
        <v>1</v>
      </c>
      <c r="I65">
        <f t="shared" si="4"/>
        <v>0</v>
      </c>
      <c r="J65">
        <f t="shared" si="5"/>
        <v>0</v>
      </c>
    </row>
    <row r="66" spans="1:10" x14ac:dyDescent="0.3">
      <c r="A66" t="s">
        <v>38</v>
      </c>
      <c r="B66">
        <v>45658</v>
      </c>
      <c r="C66" t="s">
        <v>27</v>
      </c>
      <c r="D66" t="s">
        <v>18</v>
      </c>
      <c r="E66">
        <f t="shared" si="0"/>
        <v>0</v>
      </c>
      <c r="F66">
        <f t="shared" si="1"/>
        <v>0</v>
      </c>
      <c r="G66">
        <f t="shared" si="2"/>
        <v>1</v>
      </c>
      <c r="H66">
        <f t="shared" si="3"/>
        <v>1</v>
      </c>
      <c r="I66">
        <f t="shared" si="4"/>
        <v>0</v>
      </c>
      <c r="J66">
        <f t="shared" si="5"/>
        <v>0</v>
      </c>
    </row>
    <row r="67" spans="1:10" x14ac:dyDescent="0.3">
      <c r="A67" t="s">
        <v>38</v>
      </c>
      <c r="B67">
        <v>45689</v>
      </c>
      <c r="C67" t="s">
        <v>27</v>
      </c>
      <c r="D67" t="s">
        <v>18</v>
      </c>
      <c r="E67">
        <f t="shared" ref="E67:E130" si="6">IF(C67="North",1,0)</f>
        <v>0</v>
      </c>
      <c r="F67">
        <f t="shared" ref="F67:F130" si="7">IF(C67="South",1,0)</f>
        <v>0</v>
      </c>
      <c r="G67">
        <f t="shared" ref="G67:G130" si="8">IF(C67="West",1,0)</f>
        <v>1</v>
      </c>
      <c r="H67">
        <f t="shared" ref="H67:H130" si="9">IF(D67="High Street",1,0)</f>
        <v>1</v>
      </c>
      <c r="I67">
        <f t="shared" ref="I67:I130" si="10">IF(D67="Airport",1,0)</f>
        <v>0</v>
      </c>
      <c r="J67">
        <f t="shared" ref="J67:J130" si="11">IF(D67="Mall",1,0)</f>
        <v>0</v>
      </c>
    </row>
    <row r="68" spans="1:10" x14ac:dyDescent="0.3">
      <c r="A68" t="s">
        <v>38</v>
      </c>
      <c r="B68">
        <v>45717</v>
      </c>
      <c r="C68" t="s">
        <v>27</v>
      </c>
      <c r="D68" t="s">
        <v>18</v>
      </c>
      <c r="E68">
        <f t="shared" si="6"/>
        <v>0</v>
      </c>
      <c r="F68">
        <f t="shared" si="7"/>
        <v>0</v>
      </c>
      <c r="G68">
        <f t="shared" si="8"/>
        <v>1</v>
      </c>
      <c r="H68">
        <f t="shared" si="9"/>
        <v>1</v>
      </c>
      <c r="I68">
        <f t="shared" si="10"/>
        <v>0</v>
      </c>
      <c r="J68">
        <f t="shared" si="11"/>
        <v>0</v>
      </c>
    </row>
    <row r="69" spans="1:10" x14ac:dyDescent="0.3">
      <c r="A69" t="s">
        <v>38</v>
      </c>
      <c r="B69">
        <v>45748</v>
      </c>
      <c r="C69" t="s">
        <v>27</v>
      </c>
      <c r="D69" t="s">
        <v>18</v>
      </c>
      <c r="E69">
        <f t="shared" si="6"/>
        <v>0</v>
      </c>
      <c r="F69">
        <f t="shared" si="7"/>
        <v>0</v>
      </c>
      <c r="G69">
        <f t="shared" si="8"/>
        <v>1</v>
      </c>
      <c r="H69">
        <f t="shared" si="9"/>
        <v>1</v>
      </c>
      <c r="I69">
        <f t="shared" si="10"/>
        <v>0</v>
      </c>
      <c r="J69">
        <f t="shared" si="11"/>
        <v>0</v>
      </c>
    </row>
    <row r="70" spans="1:10" x14ac:dyDescent="0.3">
      <c r="A70" t="s">
        <v>39</v>
      </c>
      <c r="B70">
        <v>45658</v>
      </c>
      <c r="C70" t="s">
        <v>15</v>
      </c>
      <c r="D70" t="s">
        <v>18</v>
      </c>
      <c r="E70">
        <f t="shared" si="6"/>
        <v>0</v>
      </c>
      <c r="F70">
        <f t="shared" si="7"/>
        <v>0</v>
      </c>
      <c r="G70">
        <f t="shared" si="8"/>
        <v>0</v>
      </c>
      <c r="H70">
        <f t="shared" si="9"/>
        <v>1</v>
      </c>
      <c r="I70">
        <f t="shared" si="10"/>
        <v>0</v>
      </c>
      <c r="J70">
        <f t="shared" si="11"/>
        <v>0</v>
      </c>
    </row>
    <row r="71" spans="1:10" x14ac:dyDescent="0.3">
      <c r="A71" t="s">
        <v>39</v>
      </c>
      <c r="B71">
        <v>45689</v>
      </c>
      <c r="C71" t="s">
        <v>15</v>
      </c>
      <c r="D71" t="s">
        <v>18</v>
      </c>
      <c r="E71">
        <f t="shared" si="6"/>
        <v>0</v>
      </c>
      <c r="F71">
        <f t="shared" si="7"/>
        <v>0</v>
      </c>
      <c r="G71">
        <f t="shared" si="8"/>
        <v>0</v>
      </c>
      <c r="H71">
        <f t="shared" si="9"/>
        <v>1</v>
      </c>
      <c r="I71">
        <f t="shared" si="10"/>
        <v>0</v>
      </c>
      <c r="J71">
        <f t="shared" si="11"/>
        <v>0</v>
      </c>
    </row>
    <row r="72" spans="1:10" x14ac:dyDescent="0.3">
      <c r="A72" t="s">
        <v>39</v>
      </c>
      <c r="B72">
        <v>45717</v>
      </c>
      <c r="C72" t="s">
        <v>15</v>
      </c>
      <c r="D72" t="s">
        <v>18</v>
      </c>
      <c r="E72">
        <f t="shared" si="6"/>
        <v>0</v>
      </c>
      <c r="F72">
        <f t="shared" si="7"/>
        <v>0</v>
      </c>
      <c r="G72">
        <f t="shared" si="8"/>
        <v>0</v>
      </c>
      <c r="H72">
        <f t="shared" si="9"/>
        <v>1</v>
      </c>
      <c r="I72">
        <f t="shared" si="10"/>
        <v>0</v>
      </c>
      <c r="J72">
        <f t="shared" si="11"/>
        <v>0</v>
      </c>
    </row>
    <row r="73" spans="1:10" x14ac:dyDescent="0.3">
      <c r="A73" t="s">
        <v>39</v>
      </c>
      <c r="B73">
        <v>45748</v>
      </c>
      <c r="C73" t="s">
        <v>15</v>
      </c>
      <c r="D73" t="s">
        <v>18</v>
      </c>
      <c r="E73">
        <f t="shared" si="6"/>
        <v>0</v>
      </c>
      <c r="F73">
        <f t="shared" si="7"/>
        <v>0</v>
      </c>
      <c r="G73">
        <f t="shared" si="8"/>
        <v>0</v>
      </c>
      <c r="H73">
        <f t="shared" si="9"/>
        <v>1</v>
      </c>
      <c r="I73">
        <f t="shared" si="10"/>
        <v>0</v>
      </c>
      <c r="J73">
        <f t="shared" si="11"/>
        <v>0</v>
      </c>
    </row>
    <row r="74" spans="1:10" x14ac:dyDescent="0.3">
      <c r="A74" t="s">
        <v>40</v>
      </c>
      <c r="B74">
        <v>45658</v>
      </c>
      <c r="C74" t="s">
        <v>15</v>
      </c>
      <c r="D74" t="s">
        <v>16</v>
      </c>
      <c r="E74">
        <f t="shared" si="6"/>
        <v>0</v>
      </c>
      <c r="F74">
        <f t="shared" si="7"/>
        <v>0</v>
      </c>
      <c r="G74">
        <f t="shared" si="8"/>
        <v>0</v>
      </c>
      <c r="H74">
        <f t="shared" si="9"/>
        <v>0</v>
      </c>
      <c r="I74">
        <f t="shared" si="10"/>
        <v>0</v>
      </c>
      <c r="J74">
        <f t="shared" si="11"/>
        <v>0</v>
      </c>
    </row>
    <row r="75" spans="1:10" x14ac:dyDescent="0.3">
      <c r="A75" t="s">
        <v>40</v>
      </c>
      <c r="B75">
        <v>45689</v>
      </c>
      <c r="C75" t="s">
        <v>15</v>
      </c>
      <c r="D75" t="s">
        <v>16</v>
      </c>
      <c r="E75">
        <f t="shared" si="6"/>
        <v>0</v>
      </c>
      <c r="F75">
        <f t="shared" si="7"/>
        <v>0</v>
      </c>
      <c r="G75">
        <f t="shared" si="8"/>
        <v>0</v>
      </c>
      <c r="H75">
        <f t="shared" si="9"/>
        <v>0</v>
      </c>
      <c r="I75">
        <f t="shared" si="10"/>
        <v>0</v>
      </c>
      <c r="J75">
        <f t="shared" si="11"/>
        <v>0</v>
      </c>
    </row>
    <row r="76" spans="1:10" x14ac:dyDescent="0.3">
      <c r="A76" t="s">
        <v>40</v>
      </c>
      <c r="B76">
        <v>45717</v>
      </c>
      <c r="C76" t="s">
        <v>15</v>
      </c>
      <c r="D76" t="s">
        <v>16</v>
      </c>
      <c r="E76">
        <f t="shared" si="6"/>
        <v>0</v>
      </c>
      <c r="F76">
        <f t="shared" si="7"/>
        <v>0</v>
      </c>
      <c r="G76">
        <f t="shared" si="8"/>
        <v>0</v>
      </c>
      <c r="H76">
        <f t="shared" si="9"/>
        <v>0</v>
      </c>
      <c r="I76">
        <f t="shared" si="10"/>
        <v>0</v>
      </c>
      <c r="J76">
        <f t="shared" si="11"/>
        <v>0</v>
      </c>
    </row>
    <row r="77" spans="1:10" x14ac:dyDescent="0.3">
      <c r="A77" t="s">
        <v>40</v>
      </c>
      <c r="B77">
        <v>45748</v>
      </c>
      <c r="C77" t="s">
        <v>15</v>
      </c>
      <c r="D77" t="s">
        <v>16</v>
      </c>
      <c r="E77">
        <f t="shared" si="6"/>
        <v>0</v>
      </c>
      <c r="F77">
        <f t="shared" si="7"/>
        <v>0</v>
      </c>
      <c r="G77">
        <f t="shared" si="8"/>
        <v>0</v>
      </c>
      <c r="H77">
        <f t="shared" si="9"/>
        <v>0</v>
      </c>
      <c r="I77">
        <f t="shared" si="10"/>
        <v>0</v>
      </c>
      <c r="J77">
        <f t="shared" si="11"/>
        <v>0</v>
      </c>
    </row>
    <row r="78" spans="1:10" x14ac:dyDescent="0.3">
      <c r="A78" t="s">
        <v>41</v>
      </c>
      <c r="B78">
        <v>45658</v>
      </c>
      <c r="C78" t="s">
        <v>24</v>
      </c>
      <c r="D78" t="s">
        <v>18</v>
      </c>
      <c r="E78">
        <f t="shared" si="6"/>
        <v>0</v>
      </c>
      <c r="F78">
        <f t="shared" si="7"/>
        <v>1</v>
      </c>
      <c r="G78">
        <f t="shared" si="8"/>
        <v>0</v>
      </c>
      <c r="H78">
        <f t="shared" si="9"/>
        <v>1</v>
      </c>
      <c r="I78">
        <f t="shared" si="10"/>
        <v>0</v>
      </c>
      <c r="J78">
        <f t="shared" si="11"/>
        <v>0</v>
      </c>
    </row>
    <row r="79" spans="1:10" x14ac:dyDescent="0.3">
      <c r="A79" t="s">
        <v>41</v>
      </c>
      <c r="B79">
        <v>45689</v>
      </c>
      <c r="C79" t="s">
        <v>24</v>
      </c>
      <c r="D79" t="s">
        <v>18</v>
      </c>
      <c r="E79">
        <f t="shared" si="6"/>
        <v>0</v>
      </c>
      <c r="F79">
        <f t="shared" si="7"/>
        <v>1</v>
      </c>
      <c r="G79">
        <f t="shared" si="8"/>
        <v>0</v>
      </c>
      <c r="H79">
        <f t="shared" si="9"/>
        <v>1</v>
      </c>
      <c r="I79">
        <f t="shared" si="10"/>
        <v>0</v>
      </c>
      <c r="J79">
        <f t="shared" si="11"/>
        <v>0</v>
      </c>
    </row>
    <row r="80" spans="1:10" x14ac:dyDescent="0.3">
      <c r="A80" t="s">
        <v>41</v>
      </c>
      <c r="B80">
        <v>45717</v>
      </c>
      <c r="C80" t="s">
        <v>24</v>
      </c>
      <c r="D80" t="s">
        <v>18</v>
      </c>
      <c r="E80">
        <f t="shared" si="6"/>
        <v>0</v>
      </c>
      <c r="F80">
        <f t="shared" si="7"/>
        <v>1</v>
      </c>
      <c r="G80">
        <f t="shared" si="8"/>
        <v>0</v>
      </c>
      <c r="H80">
        <f t="shared" si="9"/>
        <v>1</v>
      </c>
      <c r="I80">
        <f t="shared" si="10"/>
        <v>0</v>
      </c>
      <c r="J80">
        <f t="shared" si="11"/>
        <v>0</v>
      </c>
    </row>
    <row r="81" spans="1:10" x14ac:dyDescent="0.3">
      <c r="A81" t="s">
        <v>41</v>
      </c>
      <c r="B81">
        <v>45748</v>
      </c>
      <c r="C81" t="s">
        <v>24</v>
      </c>
      <c r="D81" t="s">
        <v>18</v>
      </c>
      <c r="E81">
        <f t="shared" si="6"/>
        <v>0</v>
      </c>
      <c r="F81">
        <f t="shared" si="7"/>
        <v>1</v>
      </c>
      <c r="G81">
        <f t="shared" si="8"/>
        <v>0</v>
      </c>
      <c r="H81">
        <f t="shared" si="9"/>
        <v>1</v>
      </c>
      <c r="I81">
        <f t="shared" si="10"/>
        <v>0</v>
      </c>
      <c r="J81">
        <f t="shared" si="11"/>
        <v>0</v>
      </c>
    </row>
    <row r="82" spans="1:10" x14ac:dyDescent="0.3">
      <c r="A82" t="s">
        <v>42</v>
      </c>
      <c r="B82">
        <v>45658</v>
      </c>
      <c r="C82" t="s">
        <v>27</v>
      </c>
      <c r="D82" t="s">
        <v>28</v>
      </c>
      <c r="E82">
        <f t="shared" si="6"/>
        <v>0</v>
      </c>
      <c r="F82">
        <f t="shared" si="7"/>
        <v>0</v>
      </c>
      <c r="G82">
        <f t="shared" si="8"/>
        <v>1</v>
      </c>
      <c r="H82">
        <f t="shared" si="9"/>
        <v>0</v>
      </c>
      <c r="I82">
        <f t="shared" si="10"/>
        <v>0</v>
      </c>
      <c r="J82">
        <f t="shared" si="11"/>
        <v>1</v>
      </c>
    </row>
    <row r="83" spans="1:10" x14ac:dyDescent="0.3">
      <c r="A83" t="s">
        <v>42</v>
      </c>
      <c r="B83">
        <v>45689</v>
      </c>
      <c r="C83" t="s">
        <v>27</v>
      </c>
      <c r="D83" t="s">
        <v>28</v>
      </c>
      <c r="E83">
        <f t="shared" si="6"/>
        <v>0</v>
      </c>
      <c r="F83">
        <f t="shared" si="7"/>
        <v>0</v>
      </c>
      <c r="G83">
        <f t="shared" si="8"/>
        <v>1</v>
      </c>
      <c r="H83">
        <f t="shared" si="9"/>
        <v>0</v>
      </c>
      <c r="I83">
        <f t="shared" si="10"/>
        <v>0</v>
      </c>
      <c r="J83">
        <f t="shared" si="11"/>
        <v>1</v>
      </c>
    </row>
    <row r="84" spans="1:10" x14ac:dyDescent="0.3">
      <c r="A84" t="s">
        <v>42</v>
      </c>
      <c r="B84">
        <v>45717</v>
      </c>
      <c r="C84" t="s">
        <v>27</v>
      </c>
      <c r="D84" t="s">
        <v>28</v>
      </c>
      <c r="E84">
        <f t="shared" si="6"/>
        <v>0</v>
      </c>
      <c r="F84">
        <f t="shared" si="7"/>
        <v>0</v>
      </c>
      <c r="G84">
        <f t="shared" si="8"/>
        <v>1</v>
      </c>
      <c r="H84">
        <f t="shared" si="9"/>
        <v>0</v>
      </c>
      <c r="I84">
        <f t="shared" si="10"/>
        <v>0</v>
      </c>
      <c r="J84">
        <f t="shared" si="11"/>
        <v>1</v>
      </c>
    </row>
    <row r="85" spans="1:10" x14ac:dyDescent="0.3">
      <c r="A85" t="s">
        <v>42</v>
      </c>
      <c r="B85">
        <v>45748</v>
      </c>
      <c r="C85" t="s">
        <v>27</v>
      </c>
      <c r="D85" t="s">
        <v>28</v>
      </c>
      <c r="E85">
        <f t="shared" si="6"/>
        <v>0</v>
      </c>
      <c r="F85">
        <f t="shared" si="7"/>
        <v>0</v>
      </c>
      <c r="G85">
        <f t="shared" si="8"/>
        <v>1</v>
      </c>
      <c r="H85">
        <f t="shared" si="9"/>
        <v>0</v>
      </c>
      <c r="I85">
        <f t="shared" si="10"/>
        <v>0</v>
      </c>
      <c r="J85">
        <f t="shared" si="11"/>
        <v>1</v>
      </c>
    </row>
    <row r="86" spans="1:10" x14ac:dyDescent="0.3">
      <c r="A86" t="s">
        <v>43</v>
      </c>
      <c r="B86">
        <v>45658</v>
      </c>
      <c r="C86" t="s">
        <v>27</v>
      </c>
      <c r="D86" t="s">
        <v>18</v>
      </c>
      <c r="E86">
        <f t="shared" si="6"/>
        <v>0</v>
      </c>
      <c r="F86">
        <f t="shared" si="7"/>
        <v>0</v>
      </c>
      <c r="G86">
        <f t="shared" si="8"/>
        <v>1</v>
      </c>
      <c r="H86">
        <f t="shared" si="9"/>
        <v>1</v>
      </c>
      <c r="I86">
        <f t="shared" si="10"/>
        <v>0</v>
      </c>
      <c r="J86">
        <f t="shared" si="11"/>
        <v>0</v>
      </c>
    </row>
    <row r="87" spans="1:10" x14ac:dyDescent="0.3">
      <c r="A87" t="s">
        <v>43</v>
      </c>
      <c r="B87">
        <v>45689</v>
      </c>
      <c r="C87" t="s">
        <v>27</v>
      </c>
      <c r="D87" t="s">
        <v>18</v>
      </c>
      <c r="E87">
        <f t="shared" si="6"/>
        <v>0</v>
      </c>
      <c r="F87">
        <f t="shared" si="7"/>
        <v>0</v>
      </c>
      <c r="G87">
        <f t="shared" si="8"/>
        <v>1</v>
      </c>
      <c r="H87">
        <f t="shared" si="9"/>
        <v>1</v>
      </c>
      <c r="I87">
        <f t="shared" si="10"/>
        <v>0</v>
      </c>
      <c r="J87">
        <f t="shared" si="11"/>
        <v>0</v>
      </c>
    </row>
    <row r="88" spans="1:10" x14ac:dyDescent="0.3">
      <c r="A88" t="s">
        <v>43</v>
      </c>
      <c r="B88">
        <v>45717</v>
      </c>
      <c r="C88" t="s">
        <v>27</v>
      </c>
      <c r="D88" t="s">
        <v>18</v>
      </c>
      <c r="E88">
        <f t="shared" si="6"/>
        <v>0</v>
      </c>
      <c r="F88">
        <f t="shared" si="7"/>
        <v>0</v>
      </c>
      <c r="G88">
        <f t="shared" si="8"/>
        <v>1</v>
      </c>
      <c r="H88">
        <f t="shared" si="9"/>
        <v>1</v>
      </c>
      <c r="I88">
        <f t="shared" si="10"/>
        <v>0</v>
      </c>
      <c r="J88">
        <f t="shared" si="11"/>
        <v>0</v>
      </c>
    </row>
    <row r="89" spans="1:10" x14ac:dyDescent="0.3">
      <c r="A89" t="s">
        <v>43</v>
      </c>
      <c r="B89">
        <v>45748</v>
      </c>
      <c r="C89" t="s">
        <v>27</v>
      </c>
      <c r="D89" t="s">
        <v>18</v>
      </c>
      <c r="E89">
        <f t="shared" si="6"/>
        <v>0</v>
      </c>
      <c r="F89">
        <f t="shared" si="7"/>
        <v>0</v>
      </c>
      <c r="G89">
        <f t="shared" si="8"/>
        <v>1</v>
      </c>
      <c r="H89">
        <f t="shared" si="9"/>
        <v>1</v>
      </c>
      <c r="I89">
        <f t="shared" si="10"/>
        <v>0</v>
      </c>
      <c r="J89">
        <f t="shared" si="11"/>
        <v>0</v>
      </c>
    </row>
    <row r="90" spans="1:10" x14ac:dyDescent="0.3">
      <c r="A90" t="s">
        <v>44</v>
      </c>
      <c r="B90">
        <v>45658</v>
      </c>
      <c r="C90" t="s">
        <v>24</v>
      </c>
      <c r="D90" t="s">
        <v>28</v>
      </c>
      <c r="E90">
        <f t="shared" si="6"/>
        <v>0</v>
      </c>
      <c r="F90">
        <f t="shared" si="7"/>
        <v>1</v>
      </c>
      <c r="G90">
        <f t="shared" si="8"/>
        <v>0</v>
      </c>
      <c r="H90">
        <f t="shared" si="9"/>
        <v>0</v>
      </c>
      <c r="I90">
        <f t="shared" si="10"/>
        <v>0</v>
      </c>
      <c r="J90">
        <f t="shared" si="11"/>
        <v>1</v>
      </c>
    </row>
    <row r="91" spans="1:10" x14ac:dyDescent="0.3">
      <c r="A91" t="s">
        <v>44</v>
      </c>
      <c r="B91">
        <v>45689</v>
      </c>
      <c r="C91" t="s">
        <v>24</v>
      </c>
      <c r="D91" t="s">
        <v>28</v>
      </c>
      <c r="E91">
        <f t="shared" si="6"/>
        <v>0</v>
      </c>
      <c r="F91">
        <f t="shared" si="7"/>
        <v>1</v>
      </c>
      <c r="G91">
        <f t="shared" si="8"/>
        <v>0</v>
      </c>
      <c r="H91">
        <f t="shared" si="9"/>
        <v>0</v>
      </c>
      <c r="I91">
        <f t="shared" si="10"/>
        <v>0</v>
      </c>
      <c r="J91">
        <f t="shared" si="11"/>
        <v>1</v>
      </c>
    </row>
    <row r="92" spans="1:10" x14ac:dyDescent="0.3">
      <c r="A92" t="s">
        <v>44</v>
      </c>
      <c r="B92">
        <v>45717</v>
      </c>
      <c r="C92" t="s">
        <v>24</v>
      </c>
      <c r="D92" t="s">
        <v>28</v>
      </c>
      <c r="E92">
        <f t="shared" si="6"/>
        <v>0</v>
      </c>
      <c r="F92">
        <f t="shared" si="7"/>
        <v>1</v>
      </c>
      <c r="G92">
        <f t="shared" si="8"/>
        <v>0</v>
      </c>
      <c r="H92">
        <f t="shared" si="9"/>
        <v>0</v>
      </c>
      <c r="I92">
        <f t="shared" si="10"/>
        <v>0</v>
      </c>
      <c r="J92">
        <f t="shared" si="11"/>
        <v>1</v>
      </c>
    </row>
    <row r="93" spans="1:10" x14ac:dyDescent="0.3">
      <c r="A93" t="s">
        <v>44</v>
      </c>
      <c r="B93">
        <v>45748</v>
      </c>
      <c r="C93" t="s">
        <v>24</v>
      </c>
      <c r="D93" t="s">
        <v>28</v>
      </c>
      <c r="E93">
        <f t="shared" si="6"/>
        <v>0</v>
      </c>
      <c r="F93">
        <f t="shared" si="7"/>
        <v>1</v>
      </c>
      <c r="G93">
        <f t="shared" si="8"/>
        <v>0</v>
      </c>
      <c r="H93">
        <f t="shared" si="9"/>
        <v>0</v>
      </c>
      <c r="I93">
        <f t="shared" si="10"/>
        <v>0</v>
      </c>
      <c r="J93">
        <f t="shared" si="11"/>
        <v>1</v>
      </c>
    </row>
    <row r="94" spans="1:10" x14ac:dyDescent="0.3">
      <c r="A94" t="s">
        <v>45</v>
      </c>
      <c r="B94">
        <v>45658</v>
      </c>
      <c r="C94" t="s">
        <v>27</v>
      </c>
      <c r="D94" t="s">
        <v>16</v>
      </c>
      <c r="E94">
        <f t="shared" si="6"/>
        <v>0</v>
      </c>
      <c r="F94">
        <f t="shared" si="7"/>
        <v>0</v>
      </c>
      <c r="G94">
        <f t="shared" si="8"/>
        <v>1</v>
      </c>
      <c r="H94">
        <f t="shared" si="9"/>
        <v>0</v>
      </c>
      <c r="I94">
        <f t="shared" si="10"/>
        <v>0</v>
      </c>
      <c r="J94">
        <f t="shared" si="11"/>
        <v>0</v>
      </c>
    </row>
    <row r="95" spans="1:10" x14ac:dyDescent="0.3">
      <c r="A95" t="s">
        <v>45</v>
      </c>
      <c r="B95">
        <v>45689</v>
      </c>
      <c r="C95" t="s">
        <v>27</v>
      </c>
      <c r="D95" t="s">
        <v>16</v>
      </c>
      <c r="E95">
        <f t="shared" si="6"/>
        <v>0</v>
      </c>
      <c r="F95">
        <f t="shared" si="7"/>
        <v>0</v>
      </c>
      <c r="G95">
        <f t="shared" si="8"/>
        <v>1</v>
      </c>
      <c r="H95">
        <f t="shared" si="9"/>
        <v>0</v>
      </c>
      <c r="I95">
        <f t="shared" si="10"/>
        <v>0</v>
      </c>
      <c r="J95">
        <f t="shared" si="11"/>
        <v>0</v>
      </c>
    </row>
    <row r="96" spans="1:10" x14ac:dyDescent="0.3">
      <c r="A96" t="s">
        <v>45</v>
      </c>
      <c r="B96">
        <v>45717</v>
      </c>
      <c r="C96" t="s">
        <v>27</v>
      </c>
      <c r="D96" t="s">
        <v>16</v>
      </c>
      <c r="E96">
        <f t="shared" si="6"/>
        <v>0</v>
      </c>
      <c r="F96">
        <f t="shared" si="7"/>
        <v>0</v>
      </c>
      <c r="G96">
        <f t="shared" si="8"/>
        <v>1</v>
      </c>
      <c r="H96">
        <f t="shared" si="9"/>
        <v>0</v>
      </c>
      <c r="I96">
        <f t="shared" si="10"/>
        <v>0</v>
      </c>
      <c r="J96">
        <f t="shared" si="11"/>
        <v>0</v>
      </c>
    </row>
    <row r="97" spans="1:10" x14ac:dyDescent="0.3">
      <c r="A97" t="s">
        <v>45</v>
      </c>
      <c r="B97">
        <v>45748</v>
      </c>
      <c r="C97" t="s">
        <v>27</v>
      </c>
      <c r="D97" t="s">
        <v>16</v>
      </c>
      <c r="E97">
        <f t="shared" si="6"/>
        <v>0</v>
      </c>
      <c r="F97">
        <f t="shared" si="7"/>
        <v>0</v>
      </c>
      <c r="G97">
        <f t="shared" si="8"/>
        <v>1</v>
      </c>
      <c r="H97">
        <f t="shared" si="9"/>
        <v>0</v>
      </c>
      <c r="I97">
        <f t="shared" si="10"/>
        <v>0</v>
      </c>
      <c r="J97">
        <f t="shared" si="11"/>
        <v>0</v>
      </c>
    </row>
    <row r="98" spans="1:10" x14ac:dyDescent="0.3">
      <c r="A98" t="s">
        <v>46</v>
      </c>
      <c r="B98">
        <v>45658</v>
      </c>
      <c r="C98" t="s">
        <v>27</v>
      </c>
      <c r="D98" t="s">
        <v>28</v>
      </c>
      <c r="E98">
        <f t="shared" si="6"/>
        <v>0</v>
      </c>
      <c r="F98">
        <f t="shared" si="7"/>
        <v>0</v>
      </c>
      <c r="G98">
        <f t="shared" si="8"/>
        <v>1</v>
      </c>
      <c r="H98">
        <f t="shared" si="9"/>
        <v>0</v>
      </c>
      <c r="I98">
        <f t="shared" si="10"/>
        <v>0</v>
      </c>
      <c r="J98">
        <f t="shared" si="11"/>
        <v>1</v>
      </c>
    </row>
    <row r="99" spans="1:10" x14ac:dyDescent="0.3">
      <c r="A99" t="s">
        <v>46</v>
      </c>
      <c r="B99">
        <v>45689</v>
      </c>
      <c r="C99" t="s">
        <v>27</v>
      </c>
      <c r="D99" t="s">
        <v>28</v>
      </c>
      <c r="E99">
        <f t="shared" si="6"/>
        <v>0</v>
      </c>
      <c r="F99">
        <f t="shared" si="7"/>
        <v>0</v>
      </c>
      <c r="G99">
        <f t="shared" si="8"/>
        <v>1</v>
      </c>
      <c r="H99">
        <f t="shared" si="9"/>
        <v>0</v>
      </c>
      <c r="I99">
        <f t="shared" si="10"/>
        <v>0</v>
      </c>
      <c r="J99">
        <f t="shared" si="11"/>
        <v>1</v>
      </c>
    </row>
    <row r="100" spans="1:10" x14ac:dyDescent="0.3">
      <c r="A100" t="s">
        <v>46</v>
      </c>
      <c r="B100">
        <v>45717</v>
      </c>
      <c r="C100" t="s">
        <v>27</v>
      </c>
      <c r="D100" t="s">
        <v>28</v>
      </c>
      <c r="E100">
        <f t="shared" si="6"/>
        <v>0</v>
      </c>
      <c r="F100">
        <f t="shared" si="7"/>
        <v>0</v>
      </c>
      <c r="G100">
        <f t="shared" si="8"/>
        <v>1</v>
      </c>
      <c r="H100">
        <f t="shared" si="9"/>
        <v>0</v>
      </c>
      <c r="I100">
        <f t="shared" si="10"/>
        <v>0</v>
      </c>
      <c r="J100">
        <f t="shared" si="11"/>
        <v>1</v>
      </c>
    </row>
    <row r="101" spans="1:10" x14ac:dyDescent="0.3">
      <c r="A101" t="s">
        <v>46</v>
      </c>
      <c r="B101">
        <v>45748</v>
      </c>
      <c r="C101" t="s">
        <v>27</v>
      </c>
      <c r="D101" t="s">
        <v>28</v>
      </c>
      <c r="E101">
        <f t="shared" si="6"/>
        <v>0</v>
      </c>
      <c r="F101">
        <f t="shared" si="7"/>
        <v>0</v>
      </c>
      <c r="G101">
        <f t="shared" si="8"/>
        <v>1</v>
      </c>
      <c r="H101">
        <f t="shared" si="9"/>
        <v>0</v>
      </c>
      <c r="I101">
        <f t="shared" si="10"/>
        <v>0</v>
      </c>
      <c r="J101">
        <f t="shared" si="11"/>
        <v>1</v>
      </c>
    </row>
    <row r="102" spans="1:10" x14ac:dyDescent="0.3">
      <c r="A102" t="s">
        <v>47</v>
      </c>
      <c r="B102">
        <v>45658</v>
      </c>
      <c r="C102" t="s">
        <v>15</v>
      </c>
      <c r="D102" t="s">
        <v>28</v>
      </c>
      <c r="E102">
        <f t="shared" si="6"/>
        <v>0</v>
      </c>
      <c r="F102">
        <f t="shared" si="7"/>
        <v>0</v>
      </c>
      <c r="G102">
        <f t="shared" si="8"/>
        <v>0</v>
      </c>
      <c r="H102">
        <f t="shared" si="9"/>
        <v>0</v>
      </c>
      <c r="I102">
        <f t="shared" si="10"/>
        <v>0</v>
      </c>
      <c r="J102">
        <f t="shared" si="11"/>
        <v>1</v>
      </c>
    </row>
    <row r="103" spans="1:10" x14ac:dyDescent="0.3">
      <c r="A103" t="s">
        <v>47</v>
      </c>
      <c r="B103">
        <v>45689</v>
      </c>
      <c r="C103" t="s">
        <v>15</v>
      </c>
      <c r="D103" t="s">
        <v>28</v>
      </c>
      <c r="E103">
        <f t="shared" si="6"/>
        <v>0</v>
      </c>
      <c r="F103">
        <f t="shared" si="7"/>
        <v>0</v>
      </c>
      <c r="G103">
        <f t="shared" si="8"/>
        <v>0</v>
      </c>
      <c r="H103">
        <f t="shared" si="9"/>
        <v>0</v>
      </c>
      <c r="I103">
        <f t="shared" si="10"/>
        <v>0</v>
      </c>
      <c r="J103">
        <f t="shared" si="11"/>
        <v>1</v>
      </c>
    </row>
    <row r="104" spans="1:10" x14ac:dyDescent="0.3">
      <c r="A104" t="s">
        <v>47</v>
      </c>
      <c r="B104">
        <v>45717</v>
      </c>
      <c r="C104" t="s">
        <v>15</v>
      </c>
      <c r="D104" t="s">
        <v>28</v>
      </c>
      <c r="E104">
        <f t="shared" si="6"/>
        <v>0</v>
      </c>
      <c r="F104">
        <f t="shared" si="7"/>
        <v>0</v>
      </c>
      <c r="G104">
        <f t="shared" si="8"/>
        <v>0</v>
      </c>
      <c r="H104">
        <f t="shared" si="9"/>
        <v>0</v>
      </c>
      <c r="I104">
        <f t="shared" si="10"/>
        <v>0</v>
      </c>
      <c r="J104">
        <f t="shared" si="11"/>
        <v>1</v>
      </c>
    </row>
    <row r="105" spans="1:10" x14ac:dyDescent="0.3">
      <c r="A105" t="s">
        <v>47</v>
      </c>
      <c r="B105">
        <v>45748</v>
      </c>
      <c r="C105" t="s">
        <v>15</v>
      </c>
      <c r="D105" t="s">
        <v>28</v>
      </c>
      <c r="E105">
        <f t="shared" si="6"/>
        <v>0</v>
      </c>
      <c r="F105">
        <f t="shared" si="7"/>
        <v>0</v>
      </c>
      <c r="G105">
        <f t="shared" si="8"/>
        <v>0</v>
      </c>
      <c r="H105">
        <f t="shared" si="9"/>
        <v>0</v>
      </c>
      <c r="I105">
        <f t="shared" si="10"/>
        <v>0</v>
      </c>
      <c r="J105">
        <f t="shared" si="11"/>
        <v>1</v>
      </c>
    </row>
    <row r="106" spans="1:10" x14ac:dyDescent="0.3">
      <c r="A106" t="s">
        <v>48</v>
      </c>
      <c r="B106">
        <v>45658</v>
      </c>
      <c r="C106" t="s">
        <v>27</v>
      </c>
      <c r="D106" t="s">
        <v>18</v>
      </c>
      <c r="E106">
        <f t="shared" si="6"/>
        <v>0</v>
      </c>
      <c r="F106">
        <f t="shared" si="7"/>
        <v>0</v>
      </c>
      <c r="G106">
        <f t="shared" si="8"/>
        <v>1</v>
      </c>
      <c r="H106">
        <f t="shared" si="9"/>
        <v>1</v>
      </c>
      <c r="I106">
        <f t="shared" si="10"/>
        <v>0</v>
      </c>
      <c r="J106">
        <f t="shared" si="11"/>
        <v>0</v>
      </c>
    </row>
    <row r="107" spans="1:10" x14ac:dyDescent="0.3">
      <c r="A107" t="s">
        <v>48</v>
      </c>
      <c r="B107">
        <v>45689</v>
      </c>
      <c r="C107" t="s">
        <v>27</v>
      </c>
      <c r="D107" t="s">
        <v>18</v>
      </c>
      <c r="E107">
        <f t="shared" si="6"/>
        <v>0</v>
      </c>
      <c r="F107">
        <f t="shared" si="7"/>
        <v>0</v>
      </c>
      <c r="G107">
        <f t="shared" si="8"/>
        <v>1</v>
      </c>
      <c r="H107">
        <f t="shared" si="9"/>
        <v>1</v>
      </c>
      <c r="I107">
        <f t="shared" si="10"/>
        <v>0</v>
      </c>
      <c r="J107">
        <f t="shared" si="11"/>
        <v>0</v>
      </c>
    </row>
    <row r="108" spans="1:10" x14ac:dyDescent="0.3">
      <c r="A108" t="s">
        <v>48</v>
      </c>
      <c r="B108">
        <v>45717</v>
      </c>
      <c r="C108" t="s">
        <v>27</v>
      </c>
      <c r="D108" t="s">
        <v>18</v>
      </c>
      <c r="E108">
        <f t="shared" si="6"/>
        <v>0</v>
      </c>
      <c r="F108">
        <f t="shared" si="7"/>
        <v>0</v>
      </c>
      <c r="G108">
        <f t="shared" si="8"/>
        <v>1</v>
      </c>
      <c r="H108">
        <f t="shared" si="9"/>
        <v>1</v>
      </c>
      <c r="I108">
        <f t="shared" si="10"/>
        <v>0</v>
      </c>
      <c r="J108">
        <f t="shared" si="11"/>
        <v>0</v>
      </c>
    </row>
    <row r="109" spans="1:10" x14ac:dyDescent="0.3">
      <c r="A109" t="s">
        <v>48</v>
      </c>
      <c r="B109">
        <v>45748</v>
      </c>
      <c r="C109" t="s">
        <v>27</v>
      </c>
      <c r="D109" t="s">
        <v>18</v>
      </c>
      <c r="E109">
        <f t="shared" si="6"/>
        <v>0</v>
      </c>
      <c r="F109">
        <f t="shared" si="7"/>
        <v>0</v>
      </c>
      <c r="G109">
        <f t="shared" si="8"/>
        <v>1</v>
      </c>
      <c r="H109">
        <f t="shared" si="9"/>
        <v>1</v>
      </c>
      <c r="I109">
        <f t="shared" si="10"/>
        <v>0</v>
      </c>
      <c r="J109">
        <f t="shared" si="11"/>
        <v>0</v>
      </c>
    </row>
    <row r="110" spans="1:10" x14ac:dyDescent="0.3">
      <c r="A110" t="s">
        <v>49</v>
      </c>
      <c r="B110">
        <v>45658</v>
      </c>
      <c r="C110" t="s">
        <v>15</v>
      </c>
      <c r="D110" t="s">
        <v>28</v>
      </c>
      <c r="E110">
        <f t="shared" si="6"/>
        <v>0</v>
      </c>
      <c r="F110">
        <f t="shared" si="7"/>
        <v>0</v>
      </c>
      <c r="G110">
        <f t="shared" si="8"/>
        <v>0</v>
      </c>
      <c r="H110">
        <f t="shared" si="9"/>
        <v>0</v>
      </c>
      <c r="I110">
        <f t="shared" si="10"/>
        <v>0</v>
      </c>
      <c r="J110">
        <f t="shared" si="11"/>
        <v>1</v>
      </c>
    </row>
    <row r="111" spans="1:10" x14ac:dyDescent="0.3">
      <c r="A111" t="s">
        <v>49</v>
      </c>
      <c r="B111">
        <v>45689</v>
      </c>
      <c r="C111" t="s">
        <v>15</v>
      </c>
      <c r="D111" t="s">
        <v>28</v>
      </c>
      <c r="E111">
        <f t="shared" si="6"/>
        <v>0</v>
      </c>
      <c r="F111">
        <f t="shared" si="7"/>
        <v>0</v>
      </c>
      <c r="G111">
        <f t="shared" si="8"/>
        <v>0</v>
      </c>
      <c r="H111">
        <f t="shared" si="9"/>
        <v>0</v>
      </c>
      <c r="I111">
        <f t="shared" si="10"/>
        <v>0</v>
      </c>
      <c r="J111">
        <f t="shared" si="11"/>
        <v>1</v>
      </c>
    </row>
    <row r="112" spans="1:10" x14ac:dyDescent="0.3">
      <c r="A112" t="s">
        <v>49</v>
      </c>
      <c r="B112">
        <v>45717</v>
      </c>
      <c r="C112" t="s">
        <v>15</v>
      </c>
      <c r="D112" t="s">
        <v>28</v>
      </c>
      <c r="E112">
        <f t="shared" si="6"/>
        <v>0</v>
      </c>
      <c r="F112">
        <f t="shared" si="7"/>
        <v>0</v>
      </c>
      <c r="G112">
        <f t="shared" si="8"/>
        <v>0</v>
      </c>
      <c r="H112">
        <f t="shared" si="9"/>
        <v>0</v>
      </c>
      <c r="I112">
        <f t="shared" si="10"/>
        <v>0</v>
      </c>
      <c r="J112">
        <f t="shared" si="11"/>
        <v>1</v>
      </c>
    </row>
    <row r="113" spans="1:10" x14ac:dyDescent="0.3">
      <c r="A113" t="s">
        <v>49</v>
      </c>
      <c r="B113">
        <v>45748</v>
      </c>
      <c r="C113" t="s">
        <v>15</v>
      </c>
      <c r="D113" t="s">
        <v>28</v>
      </c>
      <c r="E113">
        <f t="shared" si="6"/>
        <v>0</v>
      </c>
      <c r="F113">
        <f t="shared" si="7"/>
        <v>0</v>
      </c>
      <c r="G113">
        <f t="shared" si="8"/>
        <v>0</v>
      </c>
      <c r="H113">
        <f t="shared" si="9"/>
        <v>0</v>
      </c>
      <c r="I113">
        <f t="shared" si="10"/>
        <v>0</v>
      </c>
      <c r="J113">
        <f t="shared" si="11"/>
        <v>1</v>
      </c>
    </row>
    <row r="114" spans="1:10" x14ac:dyDescent="0.3">
      <c r="A114" t="s">
        <v>50</v>
      </c>
      <c r="B114">
        <v>45658</v>
      </c>
      <c r="C114" t="s">
        <v>27</v>
      </c>
      <c r="D114" t="s">
        <v>28</v>
      </c>
      <c r="E114">
        <f t="shared" si="6"/>
        <v>0</v>
      </c>
      <c r="F114">
        <f t="shared" si="7"/>
        <v>0</v>
      </c>
      <c r="G114">
        <f t="shared" si="8"/>
        <v>1</v>
      </c>
      <c r="H114">
        <f t="shared" si="9"/>
        <v>0</v>
      </c>
      <c r="I114">
        <f t="shared" si="10"/>
        <v>0</v>
      </c>
      <c r="J114">
        <f t="shared" si="11"/>
        <v>1</v>
      </c>
    </row>
    <row r="115" spans="1:10" x14ac:dyDescent="0.3">
      <c r="A115" t="s">
        <v>50</v>
      </c>
      <c r="B115">
        <v>45689</v>
      </c>
      <c r="C115" t="s">
        <v>27</v>
      </c>
      <c r="D115" t="s">
        <v>28</v>
      </c>
      <c r="E115">
        <f t="shared" si="6"/>
        <v>0</v>
      </c>
      <c r="F115">
        <f t="shared" si="7"/>
        <v>0</v>
      </c>
      <c r="G115">
        <f t="shared" si="8"/>
        <v>1</v>
      </c>
      <c r="H115">
        <f t="shared" si="9"/>
        <v>0</v>
      </c>
      <c r="I115">
        <f t="shared" si="10"/>
        <v>0</v>
      </c>
      <c r="J115">
        <f t="shared" si="11"/>
        <v>1</v>
      </c>
    </row>
    <row r="116" spans="1:10" x14ac:dyDescent="0.3">
      <c r="A116" t="s">
        <v>50</v>
      </c>
      <c r="B116">
        <v>45717</v>
      </c>
      <c r="C116" t="s">
        <v>27</v>
      </c>
      <c r="D116" t="s">
        <v>28</v>
      </c>
      <c r="E116">
        <f t="shared" si="6"/>
        <v>0</v>
      </c>
      <c r="F116">
        <f t="shared" si="7"/>
        <v>0</v>
      </c>
      <c r="G116">
        <f t="shared" si="8"/>
        <v>1</v>
      </c>
      <c r="H116">
        <f t="shared" si="9"/>
        <v>0</v>
      </c>
      <c r="I116">
        <f t="shared" si="10"/>
        <v>0</v>
      </c>
      <c r="J116">
        <f t="shared" si="11"/>
        <v>1</v>
      </c>
    </row>
    <row r="117" spans="1:10" x14ac:dyDescent="0.3">
      <c r="A117" t="s">
        <v>50</v>
      </c>
      <c r="B117">
        <v>45748</v>
      </c>
      <c r="C117" t="s">
        <v>27</v>
      </c>
      <c r="D117" t="s">
        <v>28</v>
      </c>
      <c r="E117">
        <f t="shared" si="6"/>
        <v>0</v>
      </c>
      <c r="F117">
        <f t="shared" si="7"/>
        <v>0</v>
      </c>
      <c r="G117">
        <f t="shared" si="8"/>
        <v>1</v>
      </c>
      <c r="H117">
        <f t="shared" si="9"/>
        <v>0</v>
      </c>
      <c r="I117">
        <f t="shared" si="10"/>
        <v>0</v>
      </c>
      <c r="J117">
        <f t="shared" si="11"/>
        <v>1</v>
      </c>
    </row>
    <row r="118" spans="1:10" x14ac:dyDescent="0.3">
      <c r="A118" t="s">
        <v>51</v>
      </c>
      <c r="B118">
        <v>45658</v>
      </c>
      <c r="C118" t="s">
        <v>27</v>
      </c>
      <c r="D118" t="s">
        <v>16</v>
      </c>
      <c r="E118">
        <f t="shared" si="6"/>
        <v>0</v>
      </c>
      <c r="F118">
        <f t="shared" si="7"/>
        <v>0</v>
      </c>
      <c r="G118">
        <f t="shared" si="8"/>
        <v>1</v>
      </c>
      <c r="H118">
        <f t="shared" si="9"/>
        <v>0</v>
      </c>
      <c r="I118">
        <f t="shared" si="10"/>
        <v>0</v>
      </c>
      <c r="J118">
        <f t="shared" si="11"/>
        <v>0</v>
      </c>
    </row>
    <row r="119" spans="1:10" x14ac:dyDescent="0.3">
      <c r="A119" t="s">
        <v>51</v>
      </c>
      <c r="B119">
        <v>45689</v>
      </c>
      <c r="C119" t="s">
        <v>27</v>
      </c>
      <c r="D119" t="s">
        <v>16</v>
      </c>
      <c r="E119">
        <f t="shared" si="6"/>
        <v>0</v>
      </c>
      <c r="F119">
        <f t="shared" si="7"/>
        <v>0</v>
      </c>
      <c r="G119">
        <f t="shared" si="8"/>
        <v>1</v>
      </c>
      <c r="H119">
        <f t="shared" si="9"/>
        <v>0</v>
      </c>
      <c r="I119">
        <f t="shared" si="10"/>
        <v>0</v>
      </c>
      <c r="J119">
        <f t="shared" si="11"/>
        <v>0</v>
      </c>
    </row>
    <row r="120" spans="1:10" x14ac:dyDescent="0.3">
      <c r="A120" t="s">
        <v>51</v>
      </c>
      <c r="B120">
        <v>45717</v>
      </c>
      <c r="C120" t="s">
        <v>27</v>
      </c>
      <c r="D120" t="s">
        <v>16</v>
      </c>
      <c r="E120">
        <f t="shared" si="6"/>
        <v>0</v>
      </c>
      <c r="F120">
        <f t="shared" si="7"/>
        <v>0</v>
      </c>
      <c r="G120">
        <f t="shared" si="8"/>
        <v>1</v>
      </c>
      <c r="H120">
        <f t="shared" si="9"/>
        <v>0</v>
      </c>
      <c r="I120">
        <f t="shared" si="10"/>
        <v>0</v>
      </c>
      <c r="J120">
        <f t="shared" si="11"/>
        <v>0</v>
      </c>
    </row>
    <row r="121" spans="1:10" x14ac:dyDescent="0.3">
      <c r="A121" t="s">
        <v>51</v>
      </c>
      <c r="B121">
        <v>45748</v>
      </c>
      <c r="C121" t="s">
        <v>27</v>
      </c>
      <c r="D121" t="s">
        <v>16</v>
      </c>
      <c r="E121">
        <f t="shared" si="6"/>
        <v>0</v>
      </c>
      <c r="F121">
        <f t="shared" si="7"/>
        <v>0</v>
      </c>
      <c r="G121">
        <f t="shared" si="8"/>
        <v>1</v>
      </c>
      <c r="H121">
        <f t="shared" si="9"/>
        <v>0</v>
      </c>
      <c r="I121">
        <f t="shared" si="10"/>
        <v>0</v>
      </c>
      <c r="J121">
        <f t="shared" si="11"/>
        <v>0</v>
      </c>
    </row>
    <row r="122" spans="1:10" x14ac:dyDescent="0.3">
      <c r="A122" t="s">
        <v>52</v>
      </c>
      <c r="B122">
        <v>45658</v>
      </c>
      <c r="C122" t="s">
        <v>20</v>
      </c>
      <c r="D122" t="s">
        <v>18</v>
      </c>
      <c r="E122">
        <f t="shared" si="6"/>
        <v>1</v>
      </c>
      <c r="F122">
        <f t="shared" si="7"/>
        <v>0</v>
      </c>
      <c r="G122">
        <f t="shared" si="8"/>
        <v>0</v>
      </c>
      <c r="H122">
        <f t="shared" si="9"/>
        <v>1</v>
      </c>
      <c r="I122">
        <f t="shared" si="10"/>
        <v>0</v>
      </c>
      <c r="J122">
        <f t="shared" si="11"/>
        <v>0</v>
      </c>
    </row>
    <row r="123" spans="1:10" x14ac:dyDescent="0.3">
      <c r="A123" t="s">
        <v>52</v>
      </c>
      <c r="B123">
        <v>45689</v>
      </c>
      <c r="C123" t="s">
        <v>20</v>
      </c>
      <c r="D123" t="s">
        <v>18</v>
      </c>
      <c r="E123">
        <f t="shared" si="6"/>
        <v>1</v>
      </c>
      <c r="F123">
        <f t="shared" si="7"/>
        <v>0</v>
      </c>
      <c r="G123">
        <f t="shared" si="8"/>
        <v>0</v>
      </c>
      <c r="H123">
        <f t="shared" si="9"/>
        <v>1</v>
      </c>
      <c r="I123">
        <f t="shared" si="10"/>
        <v>0</v>
      </c>
      <c r="J123">
        <f t="shared" si="11"/>
        <v>0</v>
      </c>
    </row>
    <row r="124" spans="1:10" x14ac:dyDescent="0.3">
      <c r="A124" t="s">
        <v>52</v>
      </c>
      <c r="B124">
        <v>45717</v>
      </c>
      <c r="C124" t="s">
        <v>20</v>
      </c>
      <c r="D124" t="s">
        <v>18</v>
      </c>
      <c r="E124">
        <f t="shared" si="6"/>
        <v>1</v>
      </c>
      <c r="F124">
        <f t="shared" si="7"/>
        <v>0</v>
      </c>
      <c r="G124">
        <f t="shared" si="8"/>
        <v>0</v>
      </c>
      <c r="H124">
        <f t="shared" si="9"/>
        <v>1</v>
      </c>
      <c r="I124">
        <f t="shared" si="10"/>
        <v>0</v>
      </c>
      <c r="J124">
        <f t="shared" si="11"/>
        <v>0</v>
      </c>
    </row>
    <row r="125" spans="1:10" x14ac:dyDescent="0.3">
      <c r="A125" t="s">
        <v>52</v>
      </c>
      <c r="B125">
        <v>45748</v>
      </c>
      <c r="C125" t="s">
        <v>20</v>
      </c>
      <c r="D125" t="s">
        <v>18</v>
      </c>
      <c r="E125">
        <f t="shared" si="6"/>
        <v>1</v>
      </c>
      <c r="F125">
        <f t="shared" si="7"/>
        <v>0</v>
      </c>
      <c r="G125">
        <f t="shared" si="8"/>
        <v>0</v>
      </c>
      <c r="H125">
        <f t="shared" si="9"/>
        <v>1</v>
      </c>
      <c r="I125">
        <f t="shared" si="10"/>
        <v>0</v>
      </c>
      <c r="J125">
        <f t="shared" si="11"/>
        <v>0</v>
      </c>
    </row>
    <row r="126" spans="1:10" x14ac:dyDescent="0.3">
      <c r="A126" t="s">
        <v>53</v>
      </c>
      <c r="B126">
        <v>45658</v>
      </c>
      <c r="C126" t="s">
        <v>24</v>
      </c>
      <c r="D126" t="s">
        <v>18</v>
      </c>
      <c r="E126">
        <f t="shared" si="6"/>
        <v>0</v>
      </c>
      <c r="F126">
        <f t="shared" si="7"/>
        <v>1</v>
      </c>
      <c r="G126">
        <f t="shared" si="8"/>
        <v>0</v>
      </c>
      <c r="H126">
        <f t="shared" si="9"/>
        <v>1</v>
      </c>
      <c r="I126">
        <f t="shared" si="10"/>
        <v>0</v>
      </c>
      <c r="J126">
        <f t="shared" si="11"/>
        <v>0</v>
      </c>
    </row>
    <row r="127" spans="1:10" x14ac:dyDescent="0.3">
      <c r="A127" t="s">
        <v>53</v>
      </c>
      <c r="B127">
        <v>45689</v>
      </c>
      <c r="C127" t="s">
        <v>24</v>
      </c>
      <c r="D127" t="s">
        <v>18</v>
      </c>
      <c r="E127">
        <f t="shared" si="6"/>
        <v>0</v>
      </c>
      <c r="F127">
        <f t="shared" si="7"/>
        <v>1</v>
      </c>
      <c r="G127">
        <f t="shared" si="8"/>
        <v>0</v>
      </c>
      <c r="H127">
        <f t="shared" si="9"/>
        <v>1</v>
      </c>
      <c r="I127">
        <f t="shared" si="10"/>
        <v>0</v>
      </c>
      <c r="J127">
        <f t="shared" si="11"/>
        <v>0</v>
      </c>
    </row>
    <row r="128" spans="1:10" x14ac:dyDescent="0.3">
      <c r="A128" t="s">
        <v>53</v>
      </c>
      <c r="B128">
        <v>45717</v>
      </c>
      <c r="C128" t="s">
        <v>24</v>
      </c>
      <c r="D128" t="s">
        <v>18</v>
      </c>
      <c r="E128">
        <f t="shared" si="6"/>
        <v>0</v>
      </c>
      <c r="F128">
        <f t="shared" si="7"/>
        <v>1</v>
      </c>
      <c r="G128">
        <f t="shared" si="8"/>
        <v>0</v>
      </c>
      <c r="H128">
        <f t="shared" si="9"/>
        <v>1</v>
      </c>
      <c r="I128">
        <f t="shared" si="10"/>
        <v>0</v>
      </c>
      <c r="J128">
        <f t="shared" si="11"/>
        <v>0</v>
      </c>
    </row>
    <row r="129" spans="1:10" x14ac:dyDescent="0.3">
      <c r="A129" t="s">
        <v>53</v>
      </c>
      <c r="B129">
        <v>45748</v>
      </c>
      <c r="C129" t="s">
        <v>24</v>
      </c>
      <c r="D129" t="s">
        <v>18</v>
      </c>
      <c r="E129">
        <f t="shared" si="6"/>
        <v>0</v>
      </c>
      <c r="F129">
        <f t="shared" si="7"/>
        <v>1</v>
      </c>
      <c r="G129">
        <f t="shared" si="8"/>
        <v>0</v>
      </c>
      <c r="H129">
        <f t="shared" si="9"/>
        <v>1</v>
      </c>
      <c r="I129">
        <f t="shared" si="10"/>
        <v>0</v>
      </c>
      <c r="J129">
        <f t="shared" si="11"/>
        <v>0</v>
      </c>
    </row>
    <row r="130" spans="1:10" x14ac:dyDescent="0.3">
      <c r="A130" t="s">
        <v>54</v>
      </c>
      <c r="B130">
        <v>45658</v>
      </c>
      <c r="C130" t="s">
        <v>15</v>
      </c>
      <c r="D130" t="s">
        <v>18</v>
      </c>
      <c r="E130">
        <f t="shared" si="6"/>
        <v>0</v>
      </c>
      <c r="F130">
        <f t="shared" si="7"/>
        <v>0</v>
      </c>
      <c r="G130">
        <f t="shared" si="8"/>
        <v>0</v>
      </c>
      <c r="H130">
        <f t="shared" si="9"/>
        <v>1</v>
      </c>
      <c r="I130">
        <f t="shared" si="10"/>
        <v>0</v>
      </c>
      <c r="J130">
        <f t="shared" si="11"/>
        <v>0</v>
      </c>
    </row>
    <row r="131" spans="1:10" x14ac:dyDescent="0.3">
      <c r="A131" t="s">
        <v>54</v>
      </c>
      <c r="B131">
        <v>45689</v>
      </c>
      <c r="C131" t="s">
        <v>15</v>
      </c>
      <c r="D131" t="s">
        <v>18</v>
      </c>
      <c r="E131">
        <f t="shared" ref="E131:E194" si="12">IF(C131="North",1,0)</f>
        <v>0</v>
      </c>
      <c r="F131">
        <f t="shared" ref="F131:F194" si="13">IF(C131="South",1,0)</f>
        <v>0</v>
      </c>
      <c r="G131">
        <f t="shared" ref="G131:G194" si="14">IF(C131="West",1,0)</f>
        <v>0</v>
      </c>
      <c r="H131">
        <f t="shared" ref="H131:H194" si="15">IF(D131="High Street",1,0)</f>
        <v>1</v>
      </c>
      <c r="I131">
        <f t="shared" ref="I131:I194" si="16">IF(D131="Airport",1,0)</f>
        <v>0</v>
      </c>
      <c r="J131">
        <f t="shared" ref="J131:J194" si="17">IF(D131="Mall",1,0)</f>
        <v>0</v>
      </c>
    </row>
    <row r="132" spans="1:10" x14ac:dyDescent="0.3">
      <c r="A132" t="s">
        <v>54</v>
      </c>
      <c r="B132">
        <v>45717</v>
      </c>
      <c r="C132" t="s">
        <v>15</v>
      </c>
      <c r="D132" t="s">
        <v>18</v>
      </c>
      <c r="E132">
        <f t="shared" si="12"/>
        <v>0</v>
      </c>
      <c r="F132">
        <f t="shared" si="13"/>
        <v>0</v>
      </c>
      <c r="G132">
        <f t="shared" si="14"/>
        <v>0</v>
      </c>
      <c r="H132">
        <f t="shared" si="15"/>
        <v>1</v>
      </c>
      <c r="I132">
        <f t="shared" si="16"/>
        <v>0</v>
      </c>
      <c r="J132">
        <f t="shared" si="17"/>
        <v>0</v>
      </c>
    </row>
    <row r="133" spans="1:10" x14ac:dyDescent="0.3">
      <c r="A133" t="s">
        <v>54</v>
      </c>
      <c r="B133">
        <v>45748</v>
      </c>
      <c r="C133" t="s">
        <v>15</v>
      </c>
      <c r="D133" t="s">
        <v>18</v>
      </c>
      <c r="E133">
        <f t="shared" si="12"/>
        <v>0</v>
      </c>
      <c r="F133">
        <f t="shared" si="13"/>
        <v>0</v>
      </c>
      <c r="G133">
        <f t="shared" si="14"/>
        <v>0</v>
      </c>
      <c r="H133">
        <f t="shared" si="15"/>
        <v>1</v>
      </c>
      <c r="I133">
        <f t="shared" si="16"/>
        <v>0</v>
      </c>
      <c r="J133">
        <f t="shared" si="17"/>
        <v>0</v>
      </c>
    </row>
    <row r="134" spans="1:10" x14ac:dyDescent="0.3">
      <c r="A134" t="s">
        <v>55</v>
      </c>
      <c r="B134">
        <v>45658</v>
      </c>
      <c r="C134" t="s">
        <v>20</v>
      </c>
      <c r="D134" t="s">
        <v>18</v>
      </c>
      <c r="E134">
        <f t="shared" si="12"/>
        <v>1</v>
      </c>
      <c r="F134">
        <f t="shared" si="13"/>
        <v>0</v>
      </c>
      <c r="G134">
        <f t="shared" si="14"/>
        <v>0</v>
      </c>
      <c r="H134">
        <f t="shared" si="15"/>
        <v>1</v>
      </c>
      <c r="I134">
        <f t="shared" si="16"/>
        <v>0</v>
      </c>
      <c r="J134">
        <f t="shared" si="17"/>
        <v>0</v>
      </c>
    </row>
    <row r="135" spans="1:10" x14ac:dyDescent="0.3">
      <c r="A135" t="s">
        <v>55</v>
      </c>
      <c r="B135">
        <v>45689</v>
      </c>
      <c r="C135" t="s">
        <v>20</v>
      </c>
      <c r="D135" t="s">
        <v>18</v>
      </c>
      <c r="E135">
        <f t="shared" si="12"/>
        <v>1</v>
      </c>
      <c r="F135">
        <f t="shared" si="13"/>
        <v>0</v>
      </c>
      <c r="G135">
        <f t="shared" si="14"/>
        <v>0</v>
      </c>
      <c r="H135">
        <f t="shared" si="15"/>
        <v>1</v>
      </c>
      <c r="I135">
        <f t="shared" si="16"/>
        <v>0</v>
      </c>
      <c r="J135">
        <f t="shared" si="17"/>
        <v>0</v>
      </c>
    </row>
    <row r="136" spans="1:10" x14ac:dyDescent="0.3">
      <c r="A136" t="s">
        <v>55</v>
      </c>
      <c r="B136">
        <v>45717</v>
      </c>
      <c r="C136" t="s">
        <v>20</v>
      </c>
      <c r="D136" t="s">
        <v>18</v>
      </c>
      <c r="E136">
        <f t="shared" si="12"/>
        <v>1</v>
      </c>
      <c r="F136">
        <f t="shared" si="13"/>
        <v>0</v>
      </c>
      <c r="G136">
        <f t="shared" si="14"/>
        <v>0</v>
      </c>
      <c r="H136">
        <f t="shared" si="15"/>
        <v>1</v>
      </c>
      <c r="I136">
        <f t="shared" si="16"/>
        <v>0</v>
      </c>
      <c r="J136">
        <f t="shared" si="17"/>
        <v>0</v>
      </c>
    </row>
    <row r="137" spans="1:10" x14ac:dyDescent="0.3">
      <c r="A137" t="s">
        <v>55</v>
      </c>
      <c r="B137">
        <v>45748</v>
      </c>
      <c r="C137" t="s">
        <v>20</v>
      </c>
      <c r="D137" t="s">
        <v>18</v>
      </c>
      <c r="E137">
        <f t="shared" si="12"/>
        <v>1</v>
      </c>
      <c r="F137">
        <f t="shared" si="13"/>
        <v>0</v>
      </c>
      <c r="G137">
        <f t="shared" si="14"/>
        <v>0</v>
      </c>
      <c r="H137">
        <f t="shared" si="15"/>
        <v>1</v>
      </c>
      <c r="I137">
        <f t="shared" si="16"/>
        <v>0</v>
      </c>
      <c r="J137">
        <f t="shared" si="17"/>
        <v>0</v>
      </c>
    </row>
    <row r="138" spans="1:10" x14ac:dyDescent="0.3">
      <c r="A138" t="s">
        <v>56</v>
      </c>
      <c r="B138">
        <v>45658</v>
      </c>
      <c r="C138" t="s">
        <v>24</v>
      </c>
      <c r="D138" t="s">
        <v>16</v>
      </c>
      <c r="E138">
        <f t="shared" si="12"/>
        <v>0</v>
      </c>
      <c r="F138">
        <f t="shared" si="13"/>
        <v>1</v>
      </c>
      <c r="G138">
        <f t="shared" si="14"/>
        <v>0</v>
      </c>
      <c r="H138">
        <f t="shared" si="15"/>
        <v>0</v>
      </c>
      <c r="I138">
        <f t="shared" si="16"/>
        <v>0</v>
      </c>
      <c r="J138">
        <f t="shared" si="17"/>
        <v>0</v>
      </c>
    </row>
    <row r="139" spans="1:10" x14ac:dyDescent="0.3">
      <c r="A139" t="s">
        <v>56</v>
      </c>
      <c r="B139">
        <v>45689</v>
      </c>
      <c r="C139" t="s">
        <v>24</v>
      </c>
      <c r="D139" t="s">
        <v>16</v>
      </c>
      <c r="E139">
        <f t="shared" si="12"/>
        <v>0</v>
      </c>
      <c r="F139">
        <f t="shared" si="13"/>
        <v>1</v>
      </c>
      <c r="G139">
        <f t="shared" si="14"/>
        <v>0</v>
      </c>
      <c r="H139">
        <f t="shared" si="15"/>
        <v>0</v>
      </c>
      <c r="I139">
        <f t="shared" si="16"/>
        <v>0</v>
      </c>
      <c r="J139">
        <f t="shared" si="17"/>
        <v>0</v>
      </c>
    </row>
    <row r="140" spans="1:10" x14ac:dyDescent="0.3">
      <c r="A140" t="s">
        <v>56</v>
      </c>
      <c r="B140">
        <v>45717</v>
      </c>
      <c r="C140" t="s">
        <v>24</v>
      </c>
      <c r="D140" t="s">
        <v>16</v>
      </c>
      <c r="E140">
        <f t="shared" si="12"/>
        <v>0</v>
      </c>
      <c r="F140">
        <f t="shared" si="13"/>
        <v>1</v>
      </c>
      <c r="G140">
        <f t="shared" si="14"/>
        <v>0</v>
      </c>
      <c r="H140">
        <f t="shared" si="15"/>
        <v>0</v>
      </c>
      <c r="I140">
        <f t="shared" si="16"/>
        <v>0</v>
      </c>
      <c r="J140">
        <f t="shared" si="17"/>
        <v>0</v>
      </c>
    </row>
    <row r="141" spans="1:10" x14ac:dyDescent="0.3">
      <c r="A141" t="s">
        <v>56</v>
      </c>
      <c r="B141">
        <v>45748</v>
      </c>
      <c r="C141" t="s">
        <v>24</v>
      </c>
      <c r="D141" t="s">
        <v>16</v>
      </c>
      <c r="E141">
        <f t="shared" si="12"/>
        <v>0</v>
      </c>
      <c r="F141">
        <f t="shared" si="13"/>
        <v>1</v>
      </c>
      <c r="G141">
        <f t="shared" si="14"/>
        <v>0</v>
      </c>
      <c r="H141">
        <f t="shared" si="15"/>
        <v>0</v>
      </c>
      <c r="I141">
        <f t="shared" si="16"/>
        <v>0</v>
      </c>
      <c r="J141">
        <f t="shared" si="17"/>
        <v>0</v>
      </c>
    </row>
    <row r="142" spans="1:10" x14ac:dyDescent="0.3">
      <c r="A142" t="s">
        <v>57</v>
      </c>
      <c r="B142">
        <v>45658</v>
      </c>
      <c r="C142" t="s">
        <v>27</v>
      </c>
      <c r="D142" t="s">
        <v>18</v>
      </c>
      <c r="E142">
        <f t="shared" si="12"/>
        <v>0</v>
      </c>
      <c r="F142">
        <f t="shared" si="13"/>
        <v>0</v>
      </c>
      <c r="G142">
        <f t="shared" si="14"/>
        <v>1</v>
      </c>
      <c r="H142">
        <f t="shared" si="15"/>
        <v>1</v>
      </c>
      <c r="I142">
        <f t="shared" si="16"/>
        <v>0</v>
      </c>
      <c r="J142">
        <f t="shared" si="17"/>
        <v>0</v>
      </c>
    </row>
    <row r="143" spans="1:10" x14ac:dyDescent="0.3">
      <c r="A143" t="s">
        <v>57</v>
      </c>
      <c r="B143">
        <v>45689</v>
      </c>
      <c r="C143" t="s">
        <v>27</v>
      </c>
      <c r="D143" t="s">
        <v>18</v>
      </c>
      <c r="E143">
        <f t="shared" si="12"/>
        <v>0</v>
      </c>
      <c r="F143">
        <f t="shared" si="13"/>
        <v>0</v>
      </c>
      <c r="G143">
        <f t="shared" si="14"/>
        <v>1</v>
      </c>
      <c r="H143">
        <f t="shared" si="15"/>
        <v>1</v>
      </c>
      <c r="I143">
        <f t="shared" si="16"/>
        <v>0</v>
      </c>
      <c r="J143">
        <f t="shared" si="17"/>
        <v>0</v>
      </c>
    </row>
    <row r="144" spans="1:10" x14ac:dyDescent="0.3">
      <c r="A144" t="s">
        <v>57</v>
      </c>
      <c r="B144">
        <v>45717</v>
      </c>
      <c r="C144" t="s">
        <v>27</v>
      </c>
      <c r="D144" t="s">
        <v>18</v>
      </c>
      <c r="E144">
        <f t="shared" si="12"/>
        <v>0</v>
      </c>
      <c r="F144">
        <f t="shared" si="13"/>
        <v>0</v>
      </c>
      <c r="G144">
        <f t="shared" si="14"/>
        <v>1</v>
      </c>
      <c r="H144">
        <f t="shared" si="15"/>
        <v>1</v>
      </c>
      <c r="I144">
        <f t="shared" si="16"/>
        <v>0</v>
      </c>
      <c r="J144">
        <f t="shared" si="17"/>
        <v>0</v>
      </c>
    </row>
    <row r="145" spans="1:10" x14ac:dyDescent="0.3">
      <c r="A145" t="s">
        <v>57</v>
      </c>
      <c r="B145">
        <v>45748</v>
      </c>
      <c r="C145" t="s">
        <v>27</v>
      </c>
      <c r="D145" t="s">
        <v>18</v>
      </c>
      <c r="E145">
        <f t="shared" si="12"/>
        <v>0</v>
      </c>
      <c r="F145">
        <f t="shared" si="13"/>
        <v>0</v>
      </c>
      <c r="G145">
        <f t="shared" si="14"/>
        <v>1</v>
      </c>
      <c r="H145">
        <f t="shared" si="15"/>
        <v>1</v>
      </c>
      <c r="I145">
        <f t="shared" si="16"/>
        <v>0</v>
      </c>
      <c r="J145">
        <f t="shared" si="17"/>
        <v>0</v>
      </c>
    </row>
    <row r="146" spans="1:10" x14ac:dyDescent="0.3">
      <c r="A146" t="s">
        <v>58</v>
      </c>
      <c r="B146">
        <v>45658</v>
      </c>
      <c r="C146" t="s">
        <v>20</v>
      </c>
      <c r="D146" t="s">
        <v>16</v>
      </c>
      <c r="E146">
        <f t="shared" si="12"/>
        <v>1</v>
      </c>
      <c r="F146">
        <f t="shared" si="13"/>
        <v>0</v>
      </c>
      <c r="G146">
        <f t="shared" si="14"/>
        <v>0</v>
      </c>
      <c r="H146">
        <f t="shared" si="15"/>
        <v>0</v>
      </c>
      <c r="I146">
        <f t="shared" si="16"/>
        <v>0</v>
      </c>
      <c r="J146">
        <f t="shared" si="17"/>
        <v>0</v>
      </c>
    </row>
    <row r="147" spans="1:10" x14ac:dyDescent="0.3">
      <c r="A147" t="s">
        <v>58</v>
      </c>
      <c r="B147">
        <v>45689</v>
      </c>
      <c r="C147" t="s">
        <v>20</v>
      </c>
      <c r="D147" t="s">
        <v>16</v>
      </c>
      <c r="E147">
        <f t="shared" si="12"/>
        <v>1</v>
      </c>
      <c r="F147">
        <f t="shared" si="13"/>
        <v>0</v>
      </c>
      <c r="G147">
        <f t="shared" si="14"/>
        <v>0</v>
      </c>
      <c r="H147">
        <f t="shared" si="15"/>
        <v>0</v>
      </c>
      <c r="I147">
        <f t="shared" si="16"/>
        <v>0</v>
      </c>
      <c r="J147">
        <f t="shared" si="17"/>
        <v>0</v>
      </c>
    </row>
    <row r="148" spans="1:10" x14ac:dyDescent="0.3">
      <c r="A148" t="s">
        <v>58</v>
      </c>
      <c r="B148">
        <v>45717</v>
      </c>
      <c r="C148" t="s">
        <v>20</v>
      </c>
      <c r="D148" t="s">
        <v>16</v>
      </c>
      <c r="E148">
        <f t="shared" si="12"/>
        <v>1</v>
      </c>
      <c r="F148">
        <f t="shared" si="13"/>
        <v>0</v>
      </c>
      <c r="G148">
        <f t="shared" si="14"/>
        <v>0</v>
      </c>
      <c r="H148">
        <f t="shared" si="15"/>
        <v>0</v>
      </c>
      <c r="I148">
        <f t="shared" si="16"/>
        <v>0</v>
      </c>
      <c r="J148">
        <f t="shared" si="17"/>
        <v>0</v>
      </c>
    </row>
    <row r="149" spans="1:10" x14ac:dyDescent="0.3">
      <c r="A149" t="s">
        <v>58</v>
      </c>
      <c r="B149">
        <v>45748</v>
      </c>
      <c r="C149" t="s">
        <v>20</v>
      </c>
      <c r="D149" t="s">
        <v>16</v>
      </c>
      <c r="E149">
        <f t="shared" si="12"/>
        <v>1</v>
      </c>
      <c r="F149">
        <f t="shared" si="13"/>
        <v>0</v>
      </c>
      <c r="G149">
        <f t="shared" si="14"/>
        <v>0</v>
      </c>
      <c r="H149">
        <f t="shared" si="15"/>
        <v>0</v>
      </c>
      <c r="I149">
        <f t="shared" si="16"/>
        <v>0</v>
      </c>
      <c r="J149">
        <f t="shared" si="17"/>
        <v>0</v>
      </c>
    </row>
    <row r="150" spans="1:10" x14ac:dyDescent="0.3">
      <c r="A150" t="s">
        <v>59</v>
      </c>
      <c r="B150">
        <v>45658</v>
      </c>
      <c r="C150" t="s">
        <v>24</v>
      </c>
      <c r="D150" t="s">
        <v>28</v>
      </c>
      <c r="E150">
        <f t="shared" si="12"/>
        <v>0</v>
      </c>
      <c r="F150">
        <f t="shared" si="13"/>
        <v>1</v>
      </c>
      <c r="G150">
        <f t="shared" si="14"/>
        <v>0</v>
      </c>
      <c r="H150">
        <f t="shared" si="15"/>
        <v>0</v>
      </c>
      <c r="I150">
        <f t="shared" si="16"/>
        <v>0</v>
      </c>
      <c r="J150">
        <f t="shared" si="17"/>
        <v>1</v>
      </c>
    </row>
    <row r="151" spans="1:10" x14ac:dyDescent="0.3">
      <c r="A151" t="s">
        <v>59</v>
      </c>
      <c r="B151">
        <v>45689</v>
      </c>
      <c r="C151" t="s">
        <v>24</v>
      </c>
      <c r="D151" t="s">
        <v>28</v>
      </c>
      <c r="E151">
        <f t="shared" si="12"/>
        <v>0</v>
      </c>
      <c r="F151">
        <f t="shared" si="13"/>
        <v>1</v>
      </c>
      <c r="G151">
        <f t="shared" si="14"/>
        <v>0</v>
      </c>
      <c r="H151">
        <f t="shared" si="15"/>
        <v>0</v>
      </c>
      <c r="I151">
        <f t="shared" si="16"/>
        <v>0</v>
      </c>
      <c r="J151">
        <f t="shared" si="17"/>
        <v>1</v>
      </c>
    </row>
    <row r="152" spans="1:10" x14ac:dyDescent="0.3">
      <c r="A152" t="s">
        <v>59</v>
      </c>
      <c r="B152">
        <v>45717</v>
      </c>
      <c r="C152" t="s">
        <v>24</v>
      </c>
      <c r="D152" t="s">
        <v>28</v>
      </c>
      <c r="E152">
        <f t="shared" si="12"/>
        <v>0</v>
      </c>
      <c r="F152">
        <f t="shared" si="13"/>
        <v>1</v>
      </c>
      <c r="G152">
        <f t="shared" si="14"/>
        <v>0</v>
      </c>
      <c r="H152">
        <f t="shared" si="15"/>
        <v>0</v>
      </c>
      <c r="I152">
        <f t="shared" si="16"/>
        <v>0</v>
      </c>
      <c r="J152">
        <f t="shared" si="17"/>
        <v>1</v>
      </c>
    </row>
    <row r="153" spans="1:10" x14ac:dyDescent="0.3">
      <c r="A153" t="s">
        <v>59</v>
      </c>
      <c r="B153">
        <v>45748</v>
      </c>
      <c r="C153" t="s">
        <v>24</v>
      </c>
      <c r="D153" t="s">
        <v>28</v>
      </c>
      <c r="E153">
        <f t="shared" si="12"/>
        <v>0</v>
      </c>
      <c r="F153">
        <f t="shared" si="13"/>
        <v>1</v>
      </c>
      <c r="G153">
        <f t="shared" si="14"/>
        <v>0</v>
      </c>
      <c r="H153">
        <f t="shared" si="15"/>
        <v>0</v>
      </c>
      <c r="I153">
        <f t="shared" si="16"/>
        <v>0</v>
      </c>
      <c r="J153">
        <f t="shared" si="17"/>
        <v>1</v>
      </c>
    </row>
    <row r="154" spans="1:10" x14ac:dyDescent="0.3">
      <c r="A154" t="s">
        <v>60</v>
      </c>
      <c r="B154">
        <v>45658</v>
      </c>
      <c r="C154" t="s">
        <v>15</v>
      </c>
      <c r="D154" t="s">
        <v>18</v>
      </c>
      <c r="E154">
        <f t="shared" si="12"/>
        <v>0</v>
      </c>
      <c r="F154">
        <f t="shared" si="13"/>
        <v>0</v>
      </c>
      <c r="G154">
        <f t="shared" si="14"/>
        <v>0</v>
      </c>
      <c r="H154">
        <f t="shared" si="15"/>
        <v>1</v>
      </c>
      <c r="I154">
        <f t="shared" si="16"/>
        <v>0</v>
      </c>
      <c r="J154">
        <f t="shared" si="17"/>
        <v>0</v>
      </c>
    </row>
    <row r="155" spans="1:10" x14ac:dyDescent="0.3">
      <c r="A155" t="s">
        <v>60</v>
      </c>
      <c r="B155">
        <v>45689</v>
      </c>
      <c r="C155" t="s">
        <v>15</v>
      </c>
      <c r="D155" t="s">
        <v>18</v>
      </c>
      <c r="E155">
        <f t="shared" si="12"/>
        <v>0</v>
      </c>
      <c r="F155">
        <f t="shared" si="13"/>
        <v>0</v>
      </c>
      <c r="G155">
        <f t="shared" si="14"/>
        <v>0</v>
      </c>
      <c r="H155">
        <f t="shared" si="15"/>
        <v>1</v>
      </c>
      <c r="I155">
        <f t="shared" si="16"/>
        <v>0</v>
      </c>
      <c r="J155">
        <f t="shared" si="17"/>
        <v>0</v>
      </c>
    </row>
    <row r="156" spans="1:10" x14ac:dyDescent="0.3">
      <c r="A156" t="s">
        <v>60</v>
      </c>
      <c r="B156">
        <v>45717</v>
      </c>
      <c r="C156" t="s">
        <v>15</v>
      </c>
      <c r="D156" t="s">
        <v>18</v>
      </c>
      <c r="E156">
        <f t="shared" si="12"/>
        <v>0</v>
      </c>
      <c r="F156">
        <f t="shared" si="13"/>
        <v>0</v>
      </c>
      <c r="G156">
        <f t="shared" si="14"/>
        <v>0</v>
      </c>
      <c r="H156">
        <f t="shared" si="15"/>
        <v>1</v>
      </c>
      <c r="I156">
        <f t="shared" si="16"/>
        <v>0</v>
      </c>
      <c r="J156">
        <f t="shared" si="17"/>
        <v>0</v>
      </c>
    </row>
    <row r="157" spans="1:10" x14ac:dyDescent="0.3">
      <c r="A157" t="s">
        <v>60</v>
      </c>
      <c r="B157">
        <v>45748</v>
      </c>
      <c r="C157" t="s">
        <v>15</v>
      </c>
      <c r="D157" t="s">
        <v>18</v>
      </c>
      <c r="E157">
        <f t="shared" si="12"/>
        <v>0</v>
      </c>
      <c r="F157">
        <f t="shared" si="13"/>
        <v>0</v>
      </c>
      <c r="G157">
        <f t="shared" si="14"/>
        <v>0</v>
      </c>
      <c r="H157">
        <f t="shared" si="15"/>
        <v>1</v>
      </c>
      <c r="I157">
        <f t="shared" si="16"/>
        <v>0</v>
      </c>
      <c r="J157">
        <f t="shared" si="17"/>
        <v>0</v>
      </c>
    </row>
    <row r="158" spans="1:10" x14ac:dyDescent="0.3">
      <c r="A158" t="s">
        <v>61</v>
      </c>
      <c r="B158">
        <v>45658</v>
      </c>
      <c r="C158" t="s">
        <v>20</v>
      </c>
      <c r="D158" t="s">
        <v>28</v>
      </c>
      <c r="E158">
        <f t="shared" si="12"/>
        <v>1</v>
      </c>
      <c r="F158">
        <f t="shared" si="13"/>
        <v>0</v>
      </c>
      <c r="G158">
        <f t="shared" si="14"/>
        <v>0</v>
      </c>
      <c r="H158">
        <f t="shared" si="15"/>
        <v>0</v>
      </c>
      <c r="I158">
        <f t="shared" si="16"/>
        <v>0</v>
      </c>
      <c r="J158">
        <f t="shared" si="17"/>
        <v>1</v>
      </c>
    </row>
    <row r="159" spans="1:10" x14ac:dyDescent="0.3">
      <c r="A159" t="s">
        <v>61</v>
      </c>
      <c r="B159">
        <v>45689</v>
      </c>
      <c r="C159" t="s">
        <v>20</v>
      </c>
      <c r="D159" t="s">
        <v>28</v>
      </c>
      <c r="E159">
        <f t="shared" si="12"/>
        <v>1</v>
      </c>
      <c r="F159">
        <f t="shared" si="13"/>
        <v>0</v>
      </c>
      <c r="G159">
        <f t="shared" si="14"/>
        <v>0</v>
      </c>
      <c r="H159">
        <f t="shared" si="15"/>
        <v>0</v>
      </c>
      <c r="I159">
        <f t="shared" si="16"/>
        <v>0</v>
      </c>
      <c r="J159">
        <f t="shared" si="17"/>
        <v>1</v>
      </c>
    </row>
    <row r="160" spans="1:10" x14ac:dyDescent="0.3">
      <c r="A160" t="s">
        <v>61</v>
      </c>
      <c r="B160">
        <v>45717</v>
      </c>
      <c r="C160" t="s">
        <v>20</v>
      </c>
      <c r="D160" t="s">
        <v>28</v>
      </c>
      <c r="E160">
        <f t="shared" si="12"/>
        <v>1</v>
      </c>
      <c r="F160">
        <f t="shared" si="13"/>
        <v>0</v>
      </c>
      <c r="G160">
        <f t="shared" si="14"/>
        <v>0</v>
      </c>
      <c r="H160">
        <f t="shared" si="15"/>
        <v>0</v>
      </c>
      <c r="I160">
        <f t="shared" si="16"/>
        <v>0</v>
      </c>
      <c r="J160">
        <f t="shared" si="17"/>
        <v>1</v>
      </c>
    </row>
    <row r="161" spans="1:10" x14ac:dyDescent="0.3">
      <c r="A161" t="s">
        <v>61</v>
      </c>
      <c r="B161">
        <v>45748</v>
      </c>
      <c r="C161" t="s">
        <v>20</v>
      </c>
      <c r="D161" t="s">
        <v>28</v>
      </c>
      <c r="E161">
        <f t="shared" si="12"/>
        <v>1</v>
      </c>
      <c r="F161">
        <f t="shared" si="13"/>
        <v>0</v>
      </c>
      <c r="G161">
        <f t="shared" si="14"/>
        <v>0</v>
      </c>
      <c r="H161">
        <f t="shared" si="15"/>
        <v>0</v>
      </c>
      <c r="I161">
        <f t="shared" si="16"/>
        <v>0</v>
      </c>
      <c r="J161">
        <f t="shared" si="17"/>
        <v>1</v>
      </c>
    </row>
    <row r="162" spans="1:10" x14ac:dyDescent="0.3">
      <c r="A162" t="s">
        <v>62</v>
      </c>
      <c r="B162">
        <v>45658</v>
      </c>
      <c r="C162" t="s">
        <v>24</v>
      </c>
      <c r="D162" t="s">
        <v>18</v>
      </c>
      <c r="E162">
        <f t="shared" si="12"/>
        <v>0</v>
      </c>
      <c r="F162">
        <f t="shared" si="13"/>
        <v>1</v>
      </c>
      <c r="G162">
        <f t="shared" si="14"/>
        <v>0</v>
      </c>
      <c r="H162">
        <f t="shared" si="15"/>
        <v>1</v>
      </c>
      <c r="I162">
        <f t="shared" si="16"/>
        <v>0</v>
      </c>
      <c r="J162">
        <f t="shared" si="17"/>
        <v>0</v>
      </c>
    </row>
    <row r="163" spans="1:10" x14ac:dyDescent="0.3">
      <c r="A163" t="s">
        <v>62</v>
      </c>
      <c r="B163">
        <v>45689</v>
      </c>
      <c r="C163" t="s">
        <v>24</v>
      </c>
      <c r="D163" t="s">
        <v>18</v>
      </c>
      <c r="E163">
        <f t="shared" si="12"/>
        <v>0</v>
      </c>
      <c r="F163">
        <f t="shared" si="13"/>
        <v>1</v>
      </c>
      <c r="G163">
        <f t="shared" si="14"/>
        <v>0</v>
      </c>
      <c r="H163">
        <f t="shared" si="15"/>
        <v>1</v>
      </c>
      <c r="I163">
        <f t="shared" si="16"/>
        <v>0</v>
      </c>
      <c r="J163">
        <f t="shared" si="17"/>
        <v>0</v>
      </c>
    </row>
    <row r="164" spans="1:10" x14ac:dyDescent="0.3">
      <c r="A164" t="s">
        <v>62</v>
      </c>
      <c r="B164">
        <v>45717</v>
      </c>
      <c r="C164" t="s">
        <v>24</v>
      </c>
      <c r="D164" t="s">
        <v>18</v>
      </c>
      <c r="E164">
        <f t="shared" si="12"/>
        <v>0</v>
      </c>
      <c r="F164">
        <f t="shared" si="13"/>
        <v>1</v>
      </c>
      <c r="G164">
        <f t="shared" si="14"/>
        <v>0</v>
      </c>
      <c r="H164">
        <f t="shared" si="15"/>
        <v>1</v>
      </c>
      <c r="I164">
        <f t="shared" si="16"/>
        <v>0</v>
      </c>
      <c r="J164">
        <f t="shared" si="17"/>
        <v>0</v>
      </c>
    </row>
    <row r="165" spans="1:10" x14ac:dyDescent="0.3">
      <c r="A165" t="s">
        <v>62</v>
      </c>
      <c r="B165">
        <v>45748</v>
      </c>
      <c r="C165" t="s">
        <v>24</v>
      </c>
      <c r="D165" t="s">
        <v>18</v>
      </c>
      <c r="E165">
        <f t="shared" si="12"/>
        <v>0</v>
      </c>
      <c r="F165">
        <f t="shared" si="13"/>
        <v>1</v>
      </c>
      <c r="G165">
        <f t="shared" si="14"/>
        <v>0</v>
      </c>
      <c r="H165">
        <f t="shared" si="15"/>
        <v>1</v>
      </c>
      <c r="I165">
        <f t="shared" si="16"/>
        <v>0</v>
      </c>
      <c r="J165">
        <f t="shared" si="17"/>
        <v>0</v>
      </c>
    </row>
    <row r="166" spans="1:10" x14ac:dyDescent="0.3">
      <c r="A166" t="s">
        <v>63</v>
      </c>
      <c r="B166">
        <v>45658</v>
      </c>
      <c r="C166" t="s">
        <v>20</v>
      </c>
      <c r="D166" t="s">
        <v>28</v>
      </c>
      <c r="E166">
        <f t="shared" si="12"/>
        <v>1</v>
      </c>
      <c r="F166">
        <f t="shared" si="13"/>
        <v>0</v>
      </c>
      <c r="G166">
        <f t="shared" si="14"/>
        <v>0</v>
      </c>
      <c r="H166">
        <f t="shared" si="15"/>
        <v>0</v>
      </c>
      <c r="I166">
        <f t="shared" si="16"/>
        <v>0</v>
      </c>
      <c r="J166">
        <f t="shared" si="17"/>
        <v>1</v>
      </c>
    </row>
    <row r="167" spans="1:10" x14ac:dyDescent="0.3">
      <c r="A167" t="s">
        <v>63</v>
      </c>
      <c r="B167">
        <v>45689</v>
      </c>
      <c r="C167" t="s">
        <v>20</v>
      </c>
      <c r="D167" t="s">
        <v>28</v>
      </c>
      <c r="E167">
        <f t="shared" si="12"/>
        <v>1</v>
      </c>
      <c r="F167">
        <f t="shared" si="13"/>
        <v>0</v>
      </c>
      <c r="G167">
        <f t="shared" si="14"/>
        <v>0</v>
      </c>
      <c r="H167">
        <f t="shared" si="15"/>
        <v>0</v>
      </c>
      <c r="I167">
        <f t="shared" si="16"/>
        <v>0</v>
      </c>
      <c r="J167">
        <f t="shared" si="17"/>
        <v>1</v>
      </c>
    </row>
    <row r="168" spans="1:10" x14ac:dyDescent="0.3">
      <c r="A168" t="s">
        <v>63</v>
      </c>
      <c r="B168">
        <v>45717</v>
      </c>
      <c r="C168" t="s">
        <v>20</v>
      </c>
      <c r="D168" t="s">
        <v>28</v>
      </c>
      <c r="E168">
        <f t="shared" si="12"/>
        <v>1</v>
      </c>
      <c r="F168">
        <f t="shared" si="13"/>
        <v>0</v>
      </c>
      <c r="G168">
        <f t="shared" si="14"/>
        <v>0</v>
      </c>
      <c r="H168">
        <f t="shared" si="15"/>
        <v>0</v>
      </c>
      <c r="I168">
        <f t="shared" si="16"/>
        <v>0</v>
      </c>
      <c r="J168">
        <f t="shared" si="17"/>
        <v>1</v>
      </c>
    </row>
    <row r="169" spans="1:10" x14ac:dyDescent="0.3">
      <c r="A169" t="s">
        <v>63</v>
      </c>
      <c r="B169">
        <v>45748</v>
      </c>
      <c r="C169" t="s">
        <v>20</v>
      </c>
      <c r="D169" t="s">
        <v>28</v>
      </c>
      <c r="E169">
        <f t="shared" si="12"/>
        <v>1</v>
      </c>
      <c r="F169">
        <f t="shared" si="13"/>
        <v>0</v>
      </c>
      <c r="G169">
        <f t="shared" si="14"/>
        <v>0</v>
      </c>
      <c r="H169">
        <f t="shared" si="15"/>
        <v>0</v>
      </c>
      <c r="I169">
        <f t="shared" si="16"/>
        <v>0</v>
      </c>
      <c r="J169">
        <f t="shared" si="17"/>
        <v>1</v>
      </c>
    </row>
    <row r="170" spans="1:10" x14ac:dyDescent="0.3">
      <c r="A170" t="s">
        <v>64</v>
      </c>
      <c r="B170">
        <v>45658</v>
      </c>
      <c r="C170" t="s">
        <v>15</v>
      </c>
      <c r="D170" t="s">
        <v>16</v>
      </c>
      <c r="E170">
        <f t="shared" si="12"/>
        <v>0</v>
      </c>
      <c r="F170">
        <f t="shared" si="13"/>
        <v>0</v>
      </c>
      <c r="G170">
        <f t="shared" si="14"/>
        <v>0</v>
      </c>
      <c r="H170">
        <f t="shared" si="15"/>
        <v>0</v>
      </c>
      <c r="I170">
        <f t="shared" si="16"/>
        <v>0</v>
      </c>
      <c r="J170">
        <f t="shared" si="17"/>
        <v>0</v>
      </c>
    </row>
    <row r="171" spans="1:10" x14ac:dyDescent="0.3">
      <c r="A171" t="s">
        <v>64</v>
      </c>
      <c r="B171">
        <v>45689</v>
      </c>
      <c r="C171" t="s">
        <v>15</v>
      </c>
      <c r="D171" t="s">
        <v>16</v>
      </c>
      <c r="E171">
        <f t="shared" si="12"/>
        <v>0</v>
      </c>
      <c r="F171">
        <f t="shared" si="13"/>
        <v>0</v>
      </c>
      <c r="G171">
        <f t="shared" si="14"/>
        <v>0</v>
      </c>
      <c r="H171">
        <f t="shared" si="15"/>
        <v>0</v>
      </c>
      <c r="I171">
        <f t="shared" si="16"/>
        <v>0</v>
      </c>
      <c r="J171">
        <f t="shared" si="17"/>
        <v>0</v>
      </c>
    </row>
    <row r="172" spans="1:10" x14ac:dyDescent="0.3">
      <c r="A172" t="s">
        <v>64</v>
      </c>
      <c r="B172">
        <v>45717</v>
      </c>
      <c r="C172" t="s">
        <v>15</v>
      </c>
      <c r="D172" t="s">
        <v>16</v>
      </c>
      <c r="E172">
        <f t="shared" si="12"/>
        <v>0</v>
      </c>
      <c r="F172">
        <f t="shared" si="13"/>
        <v>0</v>
      </c>
      <c r="G172">
        <f t="shared" si="14"/>
        <v>0</v>
      </c>
      <c r="H172">
        <f t="shared" si="15"/>
        <v>0</v>
      </c>
      <c r="I172">
        <f t="shared" si="16"/>
        <v>0</v>
      </c>
      <c r="J172">
        <f t="shared" si="17"/>
        <v>0</v>
      </c>
    </row>
    <row r="173" spans="1:10" x14ac:dyDescent="0.3">
      <c r="A173" t="s">
        <v>64</v>
      </c>
      <c r="B173">
        <v>45748</v>
      </c>
      <c r="C173" t="s">
        <v>15</v>
      </c>
      <c r="D173" t="s">
        <v>16</v>
      </c>
      <c r="E173">
        <f t="shared" si="12"/>
        <v>0</v>
      </c>
      <c r="F173">
        <f t="shared" si="13"/>
        <v>0</v>
      </c>
      <c r="G173">
        <f t="shared" si="14"/>
        <v>0</v>
      </c>
      <c r="H173">
        <f t="shared" si="15"/>
        <v>0</v>
      </c>
      <c r="I173">
        <f t="shared" si="16"/>
        <v>0</v>
      </c>
      <c r="J173">
        <f t="shared" si="17"/>
        <v>0</v>
      </c>
    </row>
    <row r="174" spans="1:10" x14ac:dyDescent="0.3">
      <c r="A174" t="s">
        <v>65</v>
      </c>
      <c r="B174">
        <v>45658</v>
      </c>
      <c r="C174" t="s">
        <v>15</v>
      </c>
      <c r="D174" t="s">
        <v>16</v>
      </c>
      <c r="E174">
        <f t="shared" si="12"/>
        <v>0</v>
      </c>
      <c r="F174">
        <f t="shared" si="13"/>
        <v>0</v>
      </c>
      <c r="G174">
        <f t="shared" si="14"/>
        <v>0</v>
      </c>
      <c r="H174">
        <f t="shared" si="15"/>
        <v>0</v>
      </c>
      <c r="I174">
        <f t="shared" si="16"/>
        <v>0</v>
      </c>
      <c r="J174">
        <f t="shared" si="17"/>
        <v>0</v>
      </c>
    </row>
    <row r="175" spans="1:10" x14ac:dyDescent="0.3">
      <c r="A175" t="s">
        <v>65</v>
      </c>
      <c r="B175">
        <v>45689</v>
      </c>
      <c r="C175" t="s">
        <v>15</v>
      </c>
      <c r="D175" t="s">
        <v>16</v>
      </c>
      <c r="E175">
        <f t="shared" si="12"/>
        <v>0</v>
      </c>
      <c r="F175">
        <f t="shared" si="13"/>
        <v>0</v>
      </c>
      <c r="G175">
        <f t="shared" si="14"/>
        <v>0</v>
      </c>
      <c r="H175">
        <f t="shared" si="15"/>
        <v>0</v>
      </c>
      <c r="I175">
        <f t="shared" si="16"/>
        <v>0</v>
      </c>
      <c r="J175">
        <f t="shared" si="17"/>
        <v>0</v>
      </c>
    </row>
    <row r="176" spans="1:10" x14ac:dyDescent="0.3">
      <c r="A176" t="s">
        <v>65</v>
      </c>
      <c r="B176">
        <v>45717</v>
      </c>
      <c r="C176" t="s">
        <v>15</v>
      </c>
      <c r="D176" t="s">
        <v>16</v>
      </c>
      <c r="E176">
        <f t="shared" si="12"/>
        <v>0</v>
      </c>
      <c r="F176">
        <f t="shared" si="13"/>
        <v>0</v>
      </c>
      <c r="G176">
        <f t="shared" si="14"/>
        <v>0</v>
      </c>
      <c r="H176">
        <f t="shared" si="15"/>
        <v>0</v>
      </c>
      <c r="I176">
        <f t="shared" si="16"/>
        <v>0</v>
      </c>
      <c r="J176">
        <f t="shared" si="17"/>
        <v>0</v>
      </c>
    </row>
    <row r="177" spans="1:10" x14ac:dyDescent="0.3">
      <c r="A177" t="s">
        <v>65</v>
      </c>
      <c r="B177">
        <v>45748</v>
      </c>
      <c r="C177" t="s">
        <v>15</v>
      </c>
      <c r="D177" t="s">
        <v>16</v>
      </c>
      <c r="E177">
        <f t="shared" si="12"/>
        <v>0</v>
      </c>
      <c r="F177">
        <f t="shared" si="13"/>
        <v>0</v>
      </c>
      <c r="G177">
        <f t="shared" si="14"/>
        <v>0</v>
      </c>
      <c r="H177">
        <f t="shared" si="15"/>
        <v>0</v>
      </c>
      <c r="I177">
        <f t="shared" si="16"/>
        <v>0</v>
      </c>
      <c r="J177">
        <f t="shared" si="17"/>
        <v>0</v>
      </c>
    </row>
    <row r="178" spans="1:10" x14ac:dyDescent="0.3">
      <c r="A178" t="s">
        <v>66</v>
      </c>
      <c r="B178">
        <v>45658</v>
      </c>
      <c r="C178" t="s">
        <v>27</v>
      </c>
      <c r="D178" t="s">
        <v>21</v>
      </c>
      <c r="E178">
        <f t="shared" si="12"/>
        <v>0</v>
      </c>
      <c r="F178">
        <f t="shared" si="13"/>
        <v>0</v>
      </c>
      <c r="G178">
        <f t="shared" si="14"/>
        <v>1</v>
      </c>
      <c r="H178">
        <f t="shared" si="15"/>
        <v>0</v>
      </c>
      <c r="I178">
        <f t="shared" si="16"/>
        <v>1</v>
      </c>
      <c r="J178">
        <f t="shared" si="17"/>
        <v>0</v>
      </c>
    </row>
    <row r="179" spans="1:10" x14ac:dyDescent="0.3">
      <c r="A179" t="s">
        <v>66</v>
      </c>
      <c r="B179">
        <v>45689</v>
      </c>
      <c r="C179" t="s">
        <v>27</v>
      </c>
      <c r="D179" t="s">
        <v>21</v>
      </c>
      <c r="E179">
        <f t="shared" si="12"/>
        <v>0</v>
      </c>
      <c r="F179">
        <f t="shared" si="13"/>
        <v>0</v>
      </c>
      <c r="G179">
        <f t="shared" si="14"/>
        <v>1</v>
      </c>
      <c r="H179">
        <f t="shared" si="15"/>
        <v>0</v>
      </c>
      <c r="I179">
        <f t="shared" si="16"/>
        <v>1</v>
      </c>
      <c r="J179">
        <f t="shared" si="17"/>
        <v>0</v>
      </c>
    </row>
    <row r="180" spans="1:10" x14ac:dyDescent="0.3">
      <c r="A180" t="s">
        <v>66</v>
      </c>
      <c r="B180">
        <v>45717</v>
      </c>
      <c r="C180" t="s">
        <v>27</v>
      </c>
      <c r="D180" t="s">
        <v>21</v>
      </c>
      <c r="E180">
        <f t="shared" si="12"/>
        <v>0</v>
      </c>
      <c r="F180">
        <f t="shared" si="13"/>
        <v>0</v>
      </c>
      <c r="G180">
        <f t="shared" si="14"/>
        <v>1</v>
      </c>
      <c r="H180">
        <f t="shared" si="15"/>
        <v>0</v>
      </c>
      <c r="I180">
        <f t="shared" si="16"/>
        <v>1</v>
      </c>
      <c r="J180">
        <f t="shared" si="17"/>
        <v>0</v>
      </c>
    </row>
    <row r="181" spans="1:10" x14ac:dyDescent="0.3">
      <c r="A181" t="s">
        <v>66</v>
      </c>
      <c r="B181">
        <v>45748</v>
      </c>
      <c r="C181" t="s">
        <v>27</v>
      </c>
      <c r="D181" t="s">
        <v>21</v>
      </c>
      <c r="E181">
        <f t="shared" si="12"/>
        <v>0</v>
      </c>
      <c r="F181">
        <f t="shared" si="13"/>
        <v>0</v>
      </c>
      <c r="G181">
        <f t="shared" si="14"/>
        <v>1</v>
      </c>
      <c r="H181">
        <f t="shared" si="15"/>
        <v>0</v>
      </c>
      <c r="I181">
        <f t="shared" si="16"/>
        <v>1</v>
      </c>
      <c r="J181">
        <f t="shared" si="17"/>
        <v>0</v>
      </c>
    </row>
    <row r="182" spans="1:10" x14ac:dyDescent="0.3">
      <c r="A182" t="s">
        <v>67</v>
      </c>
      <c r="B182">
        <v>45658</v>
      </c>
      <c r="C182" t="s">
        <v>27</v>
      </c>
      <c r="D182" t="s">
        <v>16</v>
      </c>
      <c r="E182">
        <f t="shared" si="12"/>
        <v>0</v>
      </c>
      <c r="F182">
        <f t="shared" si="13"/>
        <v>0</v>
      </c>
      <c r="G182">
        <f t="shared" si="14"/>
        <v>1</v>
      </c>
      <c r="H182">
        <f t="shared" si="15"/>
        <v>0</v>
      </c>
      <c r="I182">
        <f t="shared" si="16"/>
        <v>0</v>
      </c>
      <c r="J182">
        <f t="shared" si="17"/>
        <v>0</v>
      </c>
    </row>
    <row r="183" spans="1:10" x14ac:dyDescent="0.3">
      <c r="A183" t="s">
        <v>67</v>
      </c>
      <c r="B183">
        <v>45689</v>
      </c>
      <c r="C183" t="s">
        <v>27</v>
      </c>
      <c r="D183" t="s">
        <v>16</v>
      </c>
      <c r="E183">
        <f t="shared" si="12"/>
        <v>0</v>
      </c>
      <c r="F183">
        <f t="shared" si="13"/>
        <v>0</v>
      </c>
      <c r="G183">
        <f t="shared" si="14"/>
        <v>1</v>
      </c>
      <c r="H183">
        <f t="shared" si="15"/>
        <v>0</v>
      </c>
      <c r="I183">
        <f t="shared" si="16"/>
        <v>0</v>
      </c>
      <c r="J183">
        <f t="shared" si="17"/>
        <v>0</v>
      </c>
    </row>
    <row r="184" spans="1:10" x14ac:dyDescent="0.3">
      <c r="A184" t="s">
        <v>67</v>
      </c>
      <c r="B184">
        <v>45717</v>
      </c>
      <c r="C184" t="s">
        <v>27</v>
      </c>
      <c r="D184" t="s">
        <v>16</v>
      </c>
      <c r="E184">
        <f t="shared" si="12"/>
        <v>0</v>
      </c>
      <c r="F184">
        <f t="shared" si="13"/>
        <v>0</v>
      </c>
      <c r="G184">
        <f t="shared" si="14"/>
        <v>1</v>
      </c>
      <c r="H184">
        <f t="shared" si="15"/>
        <v>0</v>
      </c>
      <c r="I184">
        <f t="shared" si="16"/>
        <v>0</v>
      </c>
      <c r="J184">
        <f t="shared" si="17"/>
        <v>0</v>
      </c>
    </row>
    <row r="185" spans="1:10" x14ac:dyDescent="0.3">
      <c r="A185" t="s">
        <v>67</v>
      </c>
      <c r="B185">
        <v>45748</v>
      </c>
      <c r="C185" t="s">
        <v>27</v>
      </c>
      <c r="D185" t="s">
        <v>16</v>
      </c>
      <c r="E185">
        <f t="shared" si="12"/>
        <v>0</v>
      </c>
      <c r="F185">
        <f t="shared" si="13"/>
        <v>0</v>
      </c>
      <c r="G185">
        <f t="shared" si="14"/>
        <v>1</v>
      </c>
      <c r="H185">
        <f t="shared" si="15"/>
        <v>0</v>
      </c>
      <c r="I185">
        <f t="shared" si="16"/>
        <v>0</v>
      </c>
      <c r="J185">
        <f t="shared" si="17"/>
        <v>0</v>
      </c>
    </row>
    <row r="186" spans="1:10" x14ac:dyDescent="0.3">
      <c r="A186" t="s">
        <v>68</v>
      </c>
      <c r="B186">
        <v>45658</v>
      </c>
      <c r="C186" t="s">
        <v>20</v>
      </c>
      <c r="D186" t="s">
        <v>18</v>
      </c>
      <c r="E186">
        <f t="shared" si="12"/>
        <v>1</v>
      </c>
      <c r="F186">
        <f t="shared" si="13"/>
        <v>0</v>
      </c>
      <c r="G186">
        <f t="shared" si="14"/>
        <v>0</v>
      </c>
      <c r="H186">
        <f t="shared" si="15"/>
        <v>1</v>
      </c>
      <c r="I186">
        <f t="shared" si="16"/>
        <v>0</v>
      </c>
      <c r="J186">
        <f t="shared" si="17"/>
        <v>0</v>
      </c>
    </row>
    <row r="187" spans="1:10" x14ac:dyDescent="0.3">
      <c r="A187" t="s">
        <v>68</v>
      </c>
      <c r="B187">
        <v>45689</v>
      </c>
      <c r="C187" t="s">
        <v>20</v>
      </c>
      <c r="D187" t="s">
        <v>18</v>
      </c>
      <c r="E187">
        <f t="shared" si="12"/>
        <v>1</v>
      </c>
      <c r="F187">
        <f t="shared" si="13"/>
        <v>0</v>
      </c>
      <c r="G187">
        <f t="shared" si="14"/>
        <v>0</v>
      </c>
      <c r="H187">
        <f t="shared" si="15"/>
        <v>1</v>
      </c>
      <c r="I187">
        <f t="shared" si="16"/>
        <v>0</v>
      </c>
      <c r="J187">
        <f t="shared" si="17"/>
        <v>0</v>
      </c>
    </row>
    <row r="188" spans="1:10" x14ac:dyDescent="0.3">
      <c r="A188" t="s">
        <v>68</v>
      </c>
      <c r="B188">
        <v>45717</v>
      </c>
      <c r="C188" t="s">
        <v>20</v>
      </c>
      <c r="D188" t="s">
        <v>18</v>
      </c>
      <c r="E188">
        <f t="shared" si="12"/>
        <v>1</v>
      </c>
      <c r="F188">
        <f t="shared" si="13"/>
        <v>0</v>
      </c>
      <c r="G188">
        <f t="shared" si="14"/>
        <v>0</v>
      </c>
      <c r="H188">
        <f t="shared" si="15"/>
        <v>1</v>
      </c>
      <c r="I188">
        <f t="shared" si="16"/>
        <v>0</v>
      </c>
      <c r="J188">
        <f t="shared" si="17"/>
        <v>0</v>
      </c>
    </row>
    <row r="189" spans="1:10" x14ac:dyDescent="0.3">
      <c r="A189" t="s">
        <v>68</v>
      </c>
      <c r="B189">
        <v>45748</v>
      </c>
      <c r="C189" t="s">
        <v>20</v>
      </c>
      <c r="D189" t="s">
        <v>18</v>
      </c>
      <c r="E189">
        <f t="shared" si="12"/>
        <v>1</v>
      </c>
      <c r="F189">
        <f t="shared" si="13"/>
        <v>0</v>
      </c>
      <c r="G189">
        <f t="shared" si="14"/>
        <v>0</v>
      </c>
      <c r="H189">
        <f t="shared" si="15"/>
        <v>1</v>
      </c>
      <c r="I189">
        <f t="shared" si="16"/>
        <v>0</v>
      </c>
      <c r="J189">
        <f t="shared" si="17"/>
        <v>0</v>
      </c>
    </row>
    <row r="190" spans="1:10" x14ac:dyDescent="0.3">
      <c r="A190" t="s">
        <v>69</v>
      </c>
      <c r="B190">
        <v>45658</v>
      </c>
      <c r="C190" t="s">
        <v>15</v>
      </c>
      <c r="D190" t="s">
        <v>18</v>
      </c>
      <c r="E190">
        <f t="shared" si="12"/>
        <v>0</v>
      </c>
      <c r="F190">
        <f t="shared" si="13"/>
        <v>0</v>
      </c>
      <c r="G190">
        <f t="shared" si="14"/>
        <v>0</v>
      </c>
      <c r="H190">
        <f t="shared" si="15"/>
        <v>1</v>
      </c>
      <c r="I190">
        <f t="shared" si="16"/>
        <v>0</v>
      </c>
      <c r="J190">
        <f t="shared" si="17"/>
        <v>0</v>
      </c>
    </row>
    <row r="191" spans="1:10" x14ac:dyDescent="0.3">
      <c r="A191" t="s">
        <v>69</v>
      </c>
      <c r="B191">
        <v>45689</v>
      </c>
      <c r="C191" t="s">
        <v>15</v>
      </c>
      <c r="D191" t="s">
        <v>18</v>
      </c>
      <c r="E191">
        <f t="shared" si="12"/>
        <v>0</v>
      </c>
      <c r="F191">
        <f t="shared" si="13"/>
        <v>0</v>
      </c>
      <c r="G191">
        <f t="shared" si="14"/>
        <v>0</v>
      </c>
      <c r="H191">
        <f t="shared" si="15"/>
        <v>1</v>
      </c>
      <c r="I191">
        <f t="shared" si="16"/>
        <v>0</v>
      </c>
      <c r="J191">
        <f t="shared" si="17"/>
        <v>0</v>
      </c>
    </row>
    <row r="192" spans="1:10" x14ac:dyDescent="0.3">
      <c r="A192" t="s">
        <v>69</v>
      </c>
      <c r="B192">
        <v>45717</v>
      </c>
      <c r="C192" t="s">
        <v>15</v>
      </c>
      <c r="D192" t="s">
        <v>18</v>
      </c>
      <c r="E192">
        <f t="shared" si="12"/>
        <v>0</v>
      </c>
      <c r="F192">
        <f t="shared" si="13"/>
        <v>0</v>
      </c>
      <c r="G192">
        <f t="shared" si="14"/>
        <v>0</v>
      </c>
      <c r="H192">
        <f t="shared" si="15"/>
        <v>1</v>
      </c>
      <c r="I192">
        <f t="shared" si="16"/>
        <v>0</v>
      </c>
      <c r="J192">
        <f t="shared" si="17"/>
        <v>0</v>
      </c>
    </row>
    <row r="193" spans="1:10" x14ac:dyDescent="0.3">
      <c r="A193" t="s">
        <v>69</v>
      </c>
      <c r="B193">
        <v>45748</v>
      </c>
      <c r="C193" t="s">
        <v>15</v>
      </c>
      <c r="D193" t="s">
        <v>18</v>
      </c>
      <c r="E193">
        <f t="shared" si="12"/>
        <v>0</v>
      </c>
      <c r="F193">
        <f t="shared" si="13"/>
        <v>0</v>
      </c>
      <c r="G193">
        <f t="shared" si="14"/>
        <v>0</v>
      </c>
      <c r="H193">
        <f t="shared" si="15"/>
        <v>1</v>
      </c>
      <c r="I193">
        <f t="shared" si="16"/>
        <v>0</v>
      </c>
      <c r="J193">
        <f t="shared" si="17"/>
        <v>0</v>
      </c>
    </row>
    <row r="194" spans="1:10" x14ac:dyDescent="0.3">
      <c r="A194" t="s">
        <v>70</v>
      </c>
      <c r="B194">
        <v>45658</v>
      </c>
      <c r="C194" t="s">
        <v>27</v>
      </c>
      <c r="D194" t="s">
        <v>16</v>
      </c>
      <c r="E194">
        <f t="shared" si="12"/>
        <v>0</v>
      </c>
      <c r="F194">
        <f t="shared" si="13"/>
        <v>0</v>
      </c>
      <c r="G194">
        <f t="shared" si="14"/>
        <v>1</v>
      </c>
      <c r="H194">
        <f t="shared" si="15"/>
        <v>0</v>
      </c>
      <c r="I194">
        <f t="shared" si="16"/>
        <v>0</v>
      </c>
      <c r="J194">
        <f t="shared" si="17"/>
        <v>0</v>
      </c>
    </row>
    <row r="195" spans="1:10" x14ac:dyDescent="0.3">
      <c r="A195" t="s">
        <v>70</v>
      </c>
      <c r="B195">
        <v>45689</v>
      </c>
      <c r="C195" t="s">
        <v>27</v>
      </c>
      <c r="D195" t="s">
        <v>16</v>
      </c>
      <c r="E195">
        <f t="shared" ref="E195:E258" si="18">IF(C195="North",1,0)</f>
        <v>0</v>
      </c>
      <c r="F195">
        <f t="shared" ref="F195:F258" si="19">IF(C195="South",1,0)</f>
        <v>0</v>
      </c>
      <c r="G195">
        <f t="shared" ref="G195:G258" si="20">IF(C195="West",1,0)</f>
        <v>1</v>
      </c>
      <c r="H195">
        <f t="shared" ref="H195:H258" si="21">IF(D195="High Street",1,0)</f>
        <v>0</v>
      </c>
      <c r="I195">
        <f t="shared" ref="I195:I258" si="22">IF(D195="Airport",1,0)</f>
        <v>0</v>
      </c>
      <c r="J195">
        <f t="shared" ref="J195:J258" si="23">IF(D195="Mall",1,0)</f>
        <v>0</v>
      </c>
    </row>
    <row r="196" spans="1:10" x14ac:dyDescent="0.3">
      <c r="A196" t="s">
        <v>70</v>
      </c>
      <c r="B196">
        <v>45717</v>
      </c>
      <c r="C196" t="s">
        <v>27</v>
      </c>
      <c r="D196" t="s">
        <v>16</v>
      </c>
      <c r="E196">
        <f t="shared" si="18"/>
        <v>0</v>
      </c>
      <c r="F196">
        <f t="shared" si="19"/>
        <v>0</v>
      </c>
      <c r="G196">
        <f t="shared" si="20"/>
        <v>1</v>
      </c>
      <c r="H196">
        <f t="shared" si="21"/>
        <v>0</v>
      </c>
      <c r="I196">
        <f t="shared" si="22"/>
        <v>0</v>
      </c>
      <c r="J196">
        <f t="shared" si="23"/>
        <v>0</v>
      </c>
    </row>
    <row r="197" spans="1:10" x14ac:dyDescent="0.3">
      <c r="A197" t="s">
        <v>70</v>
      </c>
      <c r="B197">
        <v>45748</v>
      </c>
      <c r="C197" t="s">
        <v>27</v>
      </c>
      <c r="D197" t="s">
        <v>16</v>
      </c>
      <c r="E197">
        <f t="shared" si="18"/>
        <v>0</v>
      </c>
      <c r="F197">
        <f t="shared" si="19"/>
        <v>0</v>
      </c>
      <c r="G197">
        <f t="shared" si="20"/>
        <v>1</v>
      </c>
      <c r="H197">
        <f t="shared" si="21"/>
        <v>0</v>
      </c>
      <c r="I197">
        <f t="shared" si="22"/>
        <v>0</v>
      </c>
      <c r="J197">
        <f t="shared" si="23"/>
        <v>0</v>
      </c>
    </row>
    <row r="198" spans="1:10" x14ac:dyDescent="0.3">
      <c r="A198" t="s">
        <v>71</v>
      </c>
      <c r="B198">
        <v>45658</v>
      </c>
      <c r="C198" t="s">
        <v>20</v>
      </c>
      <c r="D198" t="s">
        <v>16</v>
      </c>
      <c r="E198">
        <f t="shared" si="18"/>
        <v>1</v>
      </c>
      <c r="F198">
        <f t="shared" si="19"/>
        <v>0</v>
      </c>
      <c r="G198">
        <f t="shared" si="20"/>
        <v>0</v>
      </c>
      <c r="H198">
        <f t="shared" si="21"/>
        <v>0</v>
      </c>
      <c r="I198">
        <f t="shared" si="22"/>
        <v>0</v>
      </c>
      <c r="J198">
        <f t="shared" si="23"/>
        <v>0</v>
      </c>
    </row>
    <row r="199" spans="1:10" x14ac:dyDescent="0.3">
      <c r="A199" t="s">
        <v>71</v>
      </c>
      <c r="B199">
        <v>45689</v>
      </c>
      <c r="C199" t="s">
        <v>20</v>
      </c>
      <c r="D199" t="s">
        <v>16</v>
      </c>
      <c r="E199">
        <f t="shared" si="18"/>
        <v>1</v>
      </c>
      <c r="F199">
        <f t="shared" si="19"/>
        <v>0</v>
      </c>
      <c r="G199">
        <f t="shared" si="20"/>
        <v>0</v>
      </c>
      <c r="H199">
        <f t="shared" si="21"/>
        <v>0</v>
      </c>
      <c r="I199">
        <f t="shared" si="22"/>
        <v>0</v>
      </c>
      <c r="J199">
        <f t="shared" si="23"/>
        <v>0</v>
      </c>
    </row>
    <row r="200" spans="1:10" x14ac:dyDescent="0.3">
      <c r="A200" t="s">
        <v>71</v>
      </c>
      <c r="B200">
        <v>45717</v>
      </c>
      <c r="C200" t="s">
        <v>20</v>
      </c>
      <c r="D200" t="s">
        <v>16</v>
      </c>
      <c r="E200">
        <f t="shared" si="18"/>
        <v>1</v>
      </c>
      <c r="F200">
        <f t="shared" si="19"/>
        <v>0</v>
      </c>
      <c r="G200">
        <f t="shared" si="20"/>
        <v>0</v>
      </c>
      <c r="H200">
        <f t="shared" si="21"/>
        <v>0</v>
      </c>
      <c r="I200">
        <f t="shared" si="22"/>
        <v>0</v>
      </c>
      <c r="J200">
        <f t="shared" si="23"/>
        <v>0</v>
      </c>
    </row>
    <row r="201" spans="1:10" x14ac:dyDescent="0.3">
      <c r="A201" t="s">
        <v>71</v>
      </c>
      <c r="B201">
        <v>45748</v>
      </c>
      <c r="C201" t="s">
        <v>20</v>
      </c>
      <c r="D201" t="s">
        <v>16</v>
      </c>
      <c r="E201">
        <f t="shared" si="18"/>
        <v>1</v>
      </c>
      <c r="F201">
        <f t="shared" si="19"/>
        <v>0</v>
      </c>
      <c r="G201">
        <f t="shared" si="20"/>
        <v>0</v>
      </c>
      <c r="H201">
        <f t="shared" si="21"/>
        <v>0</v>
      </c>
      <c r="I201">
        <f t="shared" si="22"/>
        <v>0</v>
      </c>
      <c r="J201">
        <f t="shared" si="23"/>
        <v>0</v>
      </c>
    </row>
    <row r="202" spans="1:10" x14ac:dyDescent="0.3">
      <c r="A202" t="s">
        <v>72</v>
      </c>
      <c r="B202">
        <v>45658</v>
      </c>
      <c r="C202" t="s">
        <v>15</v>
      </c>
      <c r="D202" t="s">
        <v>21</v>
      </c>
      <c r="E202">
        <f t="shared" si="18"/>
        <v>0</v>
      </c>
      <c r="F202">
        <f t="shared" si="19"/>
        <v>0</v>
      </c>
      <c r="G202">
        <f t="shared" si="20"/>
        <v>0</v>
      </c>
      <c r="H202">
        <f t="shared" si="21"/>
        <v>0</v>
      </c>
      <c r="I202">
        <f t="shared" si="22"/>
        <v>1</v>
      </c>
      <c r="J202">
        <f t="shared" si="23"/>
        <v>0</v>
      </c>
    </row>
    <row r="203" spans="1:10" x14ac:dyDescent="0.3">
      <c r="A203" t="s">
        <v>72</v>
      </c>
      <c r="B203">
        <v>45689</v>
      </c>
      <c r="C203" t="s">
        <v>15</v>
      </c>
      <c r="D203" t="s">
        <v>21</v>
      </c>
      <c r="E203">
        <f t="shared" si="18"/>
        <v>0</v>
      </c>
      <c r="F203">
        <f t="shared" si="19"/>
        <v>0</v>
      </c>
      <c r="G203">
        <f t="shared" si="20"/>
        <v>0</v>
      </c>
      <c r="H203">
        <f t="shared" si="21"/>
        <v>0</v>
      </c>
      <c r="I203">
        <f t="shared" si="22"/>
        <v>1</v>
      </c>
      <c r="J203">
        <f t="shared" si="23"/>
        <v>0</v>
      </c>
    </row>
    <row r="204" spans="1:10" x14ac:dyDescent="0.3">
      <c r="A204" t="s">
        <v>72</v>
      </c>
      <c r="B204">
        <v>45717</v>
      </c>
      <c r="C204" t="s">
        <v>15</v>
      </c>
      <c r="D204" t="s">
        <v>21</v>
      </c>
      <c r="E204">
        <f t="shared" si="18"/>
        <v>0</v>
      </c>
      <c r="F204">
        <f t="shared" si="19"/>
        <v>0</v>
      </c>
      <c r="G204">
        <f t="shared" si="20"/>
        <v>0</v>
      </c>
      <c r="H204">
        <f t="shared" si="21"/>
        <v>0</v>
      </c>
      <c r="I204">
        <f t="shared" si="22"/>
        <v>1</v>
      </c>
      <c r="J204">
        <f t="shared" si="23"/>
        <v>0</v>
      </c>
    </row>
    <row r="205" spans="1:10" x14ac:dyDescent="0.3">
      <c r="A205" t="s">
        <v>72</v>
      </c>
      <c r="B205">
        <v>45748</v>
      </c>
      <c r="C205" t="s">
        <v>15</v>
      </c>
      <c r="D205" t="s">
        <v>21</v>
      </c>
      <c r="E205">
        <f t="shared" si="18"/>
        <v>0</v>
      </c>
      <c r="F205">
        <f t="shared" si="19"/>
        <v>0</v>
      </c>
      <c r="G205">
        <f t="shared" si="20"/>
        <v>0</v>
      </c>
      <c r="H205">
        <f t="shared" si="21"/>
        <v>0</v>
      </c>
      <c r="I205">
        <f t="shared" si="22"/>
        <v>1</v>
      </c>
      <c r="J205">
        <f t="shared" si="23"/>
        <v>0</v>
      </c>
    </row>
    <row r="206" spans="1:10" x14ac:dyDescent="0.3">
      <c r="A206" t="s">
        <v>73</v>
      </c>
      <c r="B206">
        <v>45658</v>
      </c>
      <c r="C206" t="s">
        <v>15</v>
      </c>
      <c r="D206" t="s">
        <v>28</v>
      </c>
      <c r="E206">
        <f t="shared" si="18"/>
        <v>0</v>
      </c>
      <c r="F206">
        <f t="shared" si="19"/>
        <v>0</v>
      </c>
      <c r="G206">
        <f t="shared" si="20"/>
        <v>0</v>
      </c>
      <c r="H206">
        <f t="shared" si="21"/>
        <v>0</v>
      </c>
      <c r="I206">
        <f t="shared" si="22"/>
        <v>0</v>
      </c>
      <c r="J206">
        <f t="shared" si="23"/>
        <v>1</v>
      </c>
    </row>
    <row r="207" spans="1:10" x14ac:dyDescent="0.3">
      <c r="A207" t="s">
        <v>73</v>
      </c>
      <c r="B207">
        <v>45689</v>
      </c>
      <c r="C207" t="s">
        <v>15</v>
      </c>
      <c r="D207" t="s">
        <v>28</v>
      </c>
      <c r="E207">
        <f t="shared" si="18"/>
        <v>0</v>
      </c>
      <c r="F207">
        <f t="shared" si="19"/>
        <v>0</v>
      </c>
      <c r="G207">
        <f t="shared" si="20"/>
        <v>0</v>
      </c>
      <c r="H207">
        <f t="shared" si="21"/>
        <v>0</v>
      </c>
      <c r="I207">
        <f t="shared" si="22"/>
        <v>0</v>
      </c>
      <c r="J207">
        <f t="shared" si="23"/>
        <v>1</v>
      </c>
    </row>
    <row r="208" spans="1:10" x14ac:dyDescent="0.3">
      <c r="A208" t="s">
        <v>73</v>
      </c>
      <c r="B208">
        <v>45717</v>
      </c>
      <c r="C208" t="s">
        <v>15</v>
      </c>
      <c r="D208" t="s">
        <v>28</v>
      </c>
      <c r="E208">
        <f t="shared" si="18"/>
        <v>0</v>
      </c>
      <c r="F208">
        <f t="shared" si="19"/>
        <v>0</v>
      </c>
      <c r="G208">
        <f t="shared" si="20"/>
        <v>0</v>
      </c>
      <c r="H208">
        <f t="shared" si="21"/>
        <v>0</v>
      </c>
      <c r="I208">
        <f t="shared" si="22"/>
        <v>0</v>
      </c>
      <c r="J208">
        <f t="shared" si="23"/>
        <v>1</v>
      </c>
    </row>
    <row r="209" spans="1:10" x14ac:dyDescent="0.3">
      <c r="A209" t="s">
        <v>73</v>
      </c>
      <c r="B209">
        <v>45748</v>
      </c>
      <c r="C209" t="s">
        <v>15</v>
      </c>
      <c r="D209" t="s">
        <v>28</v>
      </c>
      <c r="E209">
        <f t="shared" si="18"/>
        <v>0</v>
      </c>
      <c r="F209">
        <f t="shared" si="19"/>
        <v>0</v>
      </c>
      <c r="G209">
        <f t="shared" si="20"/>
        <v>0</v>
      </c>
      <c r="H209">
        <f t="shared" si="21"/>
        <v>0</v>
      </c>
      <c r="I209">
        <f t="shared" si="22"/>
        <v>0</v>
      </c>
      <c r="J209">
        <f t="shared" si="23"/>
        <v>1</v>
      </c>
    </row>
    <row r="210" spans="1:10" x14ac:dyDescent="0.3">
      <c r="A210" t="s">
        <v>74</v>
      </c>
      <c r="B210">
        <v>45658</v>
      </c>
      <c r="C210" t="s">
        <v>15</v>
      </c>
      <c r="D210" t="s">
        <v>18</v>
      </c>
      <c r="E210">
        <f t="shared" si="18"/>
        <v>0</v>
      </c>
      <c r="F210">
        <f t="shared" si="19"/>
        <v>0</v>
      </c>
      <c r="G210">
        <f t="shared" si="20"/>
        <v>0</v>
      </c>
      <c r="H210">
        <f t="shared" si="21"/>
        <v>1</v>
      </c>
      <c r="I210">
        <f t="shared" si="22"/>
        <v>0</v>
      </c>
      <c r="J210">
        <f t="shared" si="23"/>
        <v>0</v>
      </c>
    </row>
    <row r="211" spans="1:10" x14ac:dyDescent="0.3">
      <c r="A211" t="s">
        <v>74</v>
      </c>
      <c r="B211">
        <v>45689</v>
      </c>
      <c r="C211" t="s">
        <v>15</v>
      </c>
      <c r="D211" t="s">
        <v>18</v>
      </c>
      <c r="E211">
        <f t="shared" si="18"/>
        <v>0</v>
      </c>
      <c r="F211">
        <f t="shared" si="19"/>
        <v>0</v>
      </c>
      <c r="G211">
        <f t="shared" si="20"/>
        <v>0</v>
      </c>
      <c r="H211">
        <f t="shared" si="21"/>
        <v>1</v>
      </c>
      <c r="I211">
        <f t="shared" si="22"/>
        <v>0</v>
      </c>
      <c r="J211">
        <f t="shared" si="23"/>
        <v>0</v>
      </c>
    </row>
    <row r="212" spans="1:10" x14ac:dyDescent="0.3">
      <c r="A212" t="s">
        <v>74</v>
      </c>
      <c r="B212">
        <v>45717</v>
      </c>
      <c r="C212" t="s">
        <v>15</v>
      </c>
      <c r="D212" t="s">
        <v>18</v>
      </c>
      <c r="E212">
        <f t="shared" si="18"/>
        <v>0</v>
      </c>
      <c r="F212">
        <f t="shared" si="19"/>
        <v>0</v>
      </c>
      <c r="G212">
        <f t="shared" si="20"/>
        <v>0</v>
      </c>
      <c r="H212">
        <f t="shared" si="21"/>
        <v>1</v>
      </c>
      <c r="I212">
        <f t="shared" si="22"/>
        <v>0</v>
      </c>
      <c r="J212">
        <f t="shared" si="23"/>
        <v>0</v>
      </c>
    </row>
    <row r="213" spans="1:10" x14ac:dyDescent="0.3">
      <c r="A213" t="s">
        <v>74</v>
      </c>
      <c r="B213">
        <v>45748</v>
      </c>
      <c r="C213" t="s">
        <v>15</v>
      </c>
      <c r="D213" t="s">
        <v>18</v>
      </c>
      <c r="E213">
        <f t="shared" si="18"/>
        <v>0</v>
      </c>
      <c r="F213">
        <f t="shared" si="19"/>
        <v>0</v>
      </c>
      <c r="G213">
        <f t="shared" si="20"/>
        <v>0</v>
      </c>
      <c r="H213">
        <f t="shared" si="21"/>
        <v>1</v>
      </c>
      <c r="I213">
        <f t="shared" si="22"/>
        <v>0</v>
      </c>
      <c r="J213">
        <f t="shared" si="23"/>
        <v>0</v>
      </c>
    </row>
    <row r="214" spans="1:10" x14ac:dyDescent="0.3">
      <c r="A214" t="s">
        <v>75</v>
      </c>
      <c r="B214">
        <v>45658</v>
      </c>
      <c r="C214" t="s">
        <v>27</v>
      </c>
      <c r="D214" t="s">
        <v>16</v>
      </c>
      <c r="E214">
        <f t="shared" si="18"/>
        <v>0</v>
      </c>
      <c r="F214">
        <f t="shared" si="19"/>
        <v>0</v>
      </c>
      <c r="G214">
        <f t="shared" si="20"/>
        <v>1</v>
      </c>
      <c r="H214">
        <f t="shared" si="21"/>
        <v>0</v>
      </c>
      <c r="I214">
        <f t="shared" si="22"/>
        <v>0</v>
      </c>
      <c r="J214">
        <f t="shared" si="23"/>
        <v>0</v>
      </c>
    </row>
    <row r="215" spans="1:10" x14ac:dyDescent="0.3">
      <c r="A215" t="s">
        <v>75</v>
      </c>
      <c r="B215">
        <v>45689</v>
      </c>
      <c r="C215" t="s">
        <v>27</v>
      </c>
      <c r="D215" t="s">
        <v>16</v>
      </c>
      <c r="E215">
        <f t="shared" si="18"/>
        <v>0</v>
      </c>
      <c r="F215">
        <f t="shared" si="19"/>
        <v>0</v>
      </c>
      <c r="G215">
        <f t="shared" si="20"/>
        <v>1</v>
      </c>
      <c r="H215">
        <f t="shared" si="21"/>
        <v>0</v>
      </c>
      <c r="I215">
        <f t="shared" si="22"/>
        <v>0</v>
      </c>
      <c r="J215">
        <f t="shared" si="23"/>
        <v>0</v>
      </c>
    </row>
    <row r="216" spans="1:10" x14ac:dyDescent="0.3">
      <c r="A216" t="s">
        <v>75</v>
      </c>
      <c r="B216">
        <v>45717</v>
      </c>
      <c r="C216" t="s">
        <v>27</v>
      </c>
      <c r="D216" t="s">
        <v>16</v>
      </c>
      <c r="E216">
        <f t="shared" si="18"/>
        <v>0</v>
      </c>
      <c r="F216">
        <f t="shared" si="19"/>
        <v>0</v>
      </c>
      <c r="G216">
        <f t="shared" si="20"/>
        <v>1</v>
      </c>
      <c r="H216">
        <f t="shared" si="21"/>
        <v>0</v>
      </c>
      <c r="I216">
        <f t="shared" si="22"/>
        <v>0</v>
      </c>
      <c r="J216">
        <f t="shared" si="23"/>
        <v>0</v>
      </c>
    </row>
    <row r="217" spans="1:10" x14ac:dyDescent="0.3">
      <c r="A217" t="s">
        <v>75</v>
      </c>
      <c r="B217">
        <v>45748</v>
      </c>
      <c r="C217" t="s">
        <v>27</v>
      </c>
      <c r="D217" t="s">
        <v>16</v>
      </c>
      <c r="E217">
        <f t="shared" si="18"/>
        <v>0</v>
      </c>
      <c r="F217">
        <f t="shared" si="19"/>
        <v>0</v>
      </c>
      <c r="G217">
        <f t="shared" si="20"/>
        <v>1</v>
      </c>
      <c r="H217">
        <f t="shared" si="21"/>
        <v>0</v>
      </c>
      <c r="I217">
        <f t="shared" si="22"/>
        <v>0</v>
      </c>
      <c r="J217">
        <f t="shared" si="23"/>
        <v>0</v>
      </c>
    </row>
    <row r="218" spans="1:10" x14ac:dyDescent="0.3">
      <c r="A218" t="s">
        <v>76</v>
      </c>
      <c r="B218">
        <v>45658</v>
      </c>
      <c r="C218" t="s">
        <v>20</v>
      </c>
      <c r="D218" t="s">
        <v>21</v>
      </c>
      <c r="E218">
        <f t="shared" si="18"/>
        <v>1</v>
      </c>
      <c r="F218">
        <f t="shared" si="19"/>
        <v>0</v>
      </c>
      <c r="G218">
        <f t="shared" si="20"/>
        <v>0</v>
      </c>
      <c r="H218">
        <f t="shared" si="21"/>
        <v>0</v>
      </c>
      <c r="I218">
        <f t="shared" si="22"/>
        <v>1</v>
      </c>
      <c r="J218">
        <f t="shared" si="23"/>
        <v>0</v>
      </c>
    </row>
    <row r="219" spans="1:10" x14ac:dyDescent="0.3">
      <c r="A219" t="s">
        <v>76</v>
      </c>
      <c r="B219">
        <v>45689</v>
      </c>
      <c r="C219" t="s">
        <v>20</v>
      </c>
      <c r="D219" t="s">
        <v>21</v>
      </c>
      <c r="E219">
        <f t="shared" si="18"/>
        <v>1</v>
      </c>
      <c r="F219">
        <f t="shared" si="19"/>
        <v>0</v>
      </c>
      <c r="G219">
        <f t="shared" si="20"/>
        <v>0</v>
      </c>
      <c r="H219">
        <f t="shared" si="21"/>
        <v>0</v>
      </c>
      <c r="I219">
        <f t="shared" si="22"/>
        <v>1</v>
      </c>
      <c r="J219">
        <f t="shared" si="23"/>
        <v>0</v>
      </c>
    </row>
    <row r="220" spans="1:10" x14ac:dyDescent="0.3">
      <c r="A220" t="s">
        <v>76</v>
      </c>
      <c r="B220">
        <v>45717</v>
      </c>
      <c r="C220" t="s">
        <v>20</v>
      </c>
      <c r="D220" t="s">
        <v>21</v>
      </c>
      <c r="E220">
        <f t="shared" si="18"/>
        <v>1</v>
      </c>
      <c r="F220">
        <f t="shared" si="19"/>
        <v>0</v>
      </c>
      <c r="G220">
        <f t="shared" si="20"/>
        <v>0</v>
      </c>
      <c r="H220">
        <f t="shared" si="21"/>
        <v>0</v>
      </c>
      <c r="I220">
        <f t="shared" si="22"/>
        <v>1</v>
      </c>
      <c r="J220">
        <f t="shared" si="23"/>
        <v>0</v>
      </c>
    </row>
    <row r="221" spans="1:10" x14ac:dyDescent="0.3">
      <c r="A221" t="s">
        <v>76</v>
      </c>
      <c r="B221">
        <v>45748</v>
      </c>
      <c r="C221" t="s">
        <v>20</v>
      </c>
      <c r="D221" t="s">
        <v>21</v>
      </c>
      <c r="E221">
        <f t="shared" si="18"/>
        <v>1</v>
      </c>
      <c r="F221">
        <f t="shared" si="19"/>
        <v>0</v>
      </c>
      <c r="G221">
        <f t="shared" si="20"/>
        <v>0</v>
      </c>
      <c r="H221">
        <f t="shared" si="21"/>
        <v>0</v>
      </c>
      <c r="I221">
        <f t="shared" si="22"/>
        <v>1</v>
      </c>
      <c r="J221">
        <f t="shared" si="23"/>
        <v>0</v>
      </c>
    </row>
    <row r="222" spans="1:10" x14ac:dyDescent="0.3">
      <c r="A222" t="s">
        <v>77</v>
      </c>
      <c r="B222">
        <v>45658</v>
      </c>
      <c r="C222" t="s">
        <v>15</v>
      </c>
      <c r="D222" t="s">
        <v>18</v>
      </c>
      <c r="E222">
        <f t="shared" si="18"/>
        <v>0</v>
      </c>
      <c r="F222">
        <f t="shared" si="19"/>
        <v>0</v>
      </c>
      <c r="G222">
        <f t="shared" si="20"/>
        <v>0</v>
      </c>
      <c r="H222">
        <f t="shared" si="21"/>
        <v>1</v>
      </c>
      <c r="I222">
        <f t="shared" si="22"/>
        <v>0</v>
      </c>
      <c r="J222">
        <f t="shared" si="23"/>
        <v>0</v>
      </c>
    </row>
    <row r="223" spans="1:10" x14ac:dyDescent="0.3">
      <c r="A223" t="s">
        <v>77</v>
      </c>
      <c r="B223">
        <v>45689</v>
      </c>
      <c r="C223" t="s">
        <v>15</v>
      </c>
      <c r="D223" t="s">
        <v>18</v>
      </c>
      <c r="E223">
        <f t="shared" si="18"/>
        <v>0</v>
      </c>
      <c r="F223">
        <f t="shared" si="19"/>
        <v>0</v>
      </c>
      <c r="G223">
        <f t="shared" si="20"/>
        <v>0</v>
      </c>
      <c r="H223">
        <f t="shared" si="21"/>
        <v>1</v>
      </c>
      <c r="I223">
        <f t="shared" si="22"/>
        <v>0</v>
      </c>
      <c r="J223">
        <f t="shared" si="23"/>
        <v>0</v>
      </c>
    </row>
    <row r="224" spans="1:10" x14ac:dyDescent="0.3">
      <c r="A224" t="s">
        <v>77</v>
      </c>
      <c r="B224">
        <v>45717</v>
      </c>
      <c r="C224" t="s">
        <v>15</v>
      </c>
      <c r="D224" t="s">
        <v>18</v>
      </c>
      <c r="E224">
        <f t="shared" si="18"/>
        <v>0</v>
      </c>
      <c r="F224">
        <f t="shared" si="19"/>
        <v>0</v>
      </c>
      <c r="G224">
        <f t="shared" si="20"/>
        <v>0</v>
      </c>
      <c r="H224">
        <f t="shared" si="21"/>
        <v>1</v>
      </c>
      <c r="I224">
        <f t="shared" si="22"/>
        <v>0</v>
      </c>
      <c r="J224">
        <f t="shared" si="23"/>
        <v>0</v>
      </c>
    </row>
    <row r="225" spans="1:10" x14ac:dyDescent="0.3">
      <c r="A225" t="s">
        <v>77</v>
      </c>
      <c r="B225">
        <v>45748</v>
      </c>
      <c r="C225" t="s">
        <v>15</v>
      </c>
      <c r="D225" t="s">
        <v>18</v>
      </c>
      <c r="E225">
        <f t="shared" si="18"/>
        <v>0</v>
      </c>
      <c r="F225">
        <f t="shared" si="19"/>
        <v>0</v>
      </c>
      <c r="G225">
        <f t="shared" si="20"/>
        <v>0</v>
      </c>
      <c r="H225">
        <f t="shared" si="21"/>
        <v>1</v>
      </c>
      <c r="I225">
        <f t="shared" si="22"/>
        <v>0</v>
      </c>
      <c r="J225">
        <f t="shared" si="23"/>
        <v>0</v>
      </c>
    </row>
    <row r="226" spans="1:10" x14ac:dyDescent="0.3">
      <c r="A226" t="s">
        <v>78</v>
      </c>
      <c r="B226">
        <v>45658</v>
      </c>
      <c r="C226" t="s">
        <v>15</v>
      </c>
      <c r="D226" t="s">
        <v>28</v>
      </c>
      <c r="E226">
        <f t="shared" si="18"/>
        <v>0</v>
      </c>
      <c r="F226">
        <f t="shared" si="19"/>
        <v>0</v>
      </c>
      <c r="G226">
        <f t="shared" si="20"/>
        <v>0</v>
      </c>
      <c r="H226">
        <f t="shared" si="21"/>
        <v>0</v>
      </c>
      <c r="I226">
        <f t="shared" si="22"/>
        <v>0</v>
      </c>
      <c r="J226">
        <f t="shared" si="23"/>
        <v>1</v>
      </c>
    </row>
    <row r="227" spans="1:10" x14ac:dyDescent="0.3">
      <c r="A227" t="s">
        <v>78</v>
      </c>
      <c r="B227">
        <v>45689</v>
      </c>
      <c r="C227" t="s">
        <v>15</v>
      </c>
      <c r="D227" t="s">
        <v>28</v>
      </c>
      <c r="E227">
        <f t="shared" si="18"/>
        <v>0</v>
      </c>
      <c r="F227">
        <f t="shared" si="19"/>
        <v>0</v>
      </c>
      <c r="G227">
        <f t="shared" si="20"/>
        <v>0</v>
      </c>
      <c r="H227">
        <f t="shared" si="21"/>
        <v>0</v>
      </c>
      <c r="I227">
        <f t="shared" si="22"/>
        <v>0</v>
      </c>
      <c r="J227">
        <f t="shared" si="23"/>
        <v>1</v>
      </c>
    </row>
    <row r="228" spans="1:10" x14ac:dyDescent="0.3">
      <c r="A228" t="s">
        <v>78</v>
      </c>
      <c r="B228">
        <v>45717</v>
      </c>
      <c r="C228" t="s">
        <v>15</v>
      </c>
      <c r="D228" t="s">
        <v>28</v>
      </c>
      <c r="E228">
        <f t="shared" si="18"/>
        <v>0</v>
      </c>
      <c r="F228">
        <f t="shared" si="19"/>
        <v>0</v>
      </c>
      <c r="G228">
        <f t="shared" si="20"/>
        <v>0</v>
      </c>
      <c r="H228">
        <f t="shared" si="21"/>
        <v>0</v>
      </c>
      <c r="I228">
        <f t="shared" si="22"/>
        <v>0</v>
      </c>
      <c r="J228">
        <f t="shared" si="23"/>
        <v>1</v>
      </c>
    </row>
    <row r="229" spans="1:10" x14ac:dyDescent="0.3">
      <c r="A229" t="s">
        <v>78</v>
      </c>
      <c r="B229">
        <v>45748</v>
      </c>
      <c r="C229" t="s">
        <v>15</v>
      </c>
      <c r="D229" t="s">
        <v>28</v>
      </c>
      <c r="E229">
        <f t="shared" si="18"/>
        <v>0</v>
      </c>
      <c r="F229">
        <f t="shared" si="19"/>
        <v>0</v>
      </c>
      <c r="G229">
        <f t="shared" si="20"/>
        <v>0</v>
      </c>
      <c r="H229">
        <f t="shared" si="21"/>
        <v>0</v>
      </c>
      <c r="I229">
        <f t="shared" si="22"/>
        <v>0</v>
      </c>
      <c r="J229">
        <f t="shared" si="23"/>
        <v>1</v>
      </c>
    </row>
    <row r="230" spans="1:10" x14ac:dyDescent="0.3">
      <c r="A230" t="s">
        <v>79</v>
      </c>
      <c r="B230">
        <v>45658</v>
      </c>
      <c r="C230" t="s">
        <v>15</v>
      </c>
      <c r="D230" t="s">
        <v>18</v>
      </c>
      <c r="E230">
        <f t="shared" si="18"/>
        <v>0</v>
      </c>
      <c r="F230">
        <f t="shared" si="19"/>
        <v>0</v>
      </c>
      <c r="G230">
        <f t="shared" si="20"/>
        <v>0</v>
      </c>
      <c r="H230">
        <f t="shared" si="21"/>
        <v>1</v>
      </c>
      <c r="I230">
        <f t="shared" si="22"/>
        <v>0</v>
      </c>
      <c r="J230">
        <f t="shared" si="23"/>
        <v>0</v>
      </c>
    </row>
    <row r="231" spans="1:10" x14ac:dyDescent="0.3">
      <c r="A231" t="s">
        <v>79</v>
      </c>
      <c r="B231">
        <v>45689</v>
      </c>
      <c r="C231" t="s">
        <v>15</v>
      </c>
      <c r="D231" t="s">
        <v>18</v>
      </c>
      <c r="E231">
        <f t="shared" si="18"/>
        <v>0</v>
      </c>
      <c r="F231">
        <f t="shared" si="19"/>
        <v>0</v>
      </c>
      <c r="G231">
        <f t="shared" si="20"/>
        <v>0</v>
      </c>
      <c r="H231">
        <f t="shared" si="21"/>
        <v>1</v>
      </c>
      <c r="I231">
        <f t="shared" si="22"/>
        <v>0</v>
      </c>
      <c r="J231">
        <f t="shared" si="23"/>
        <v>0</v>
      </c>
    </row>
    <row r="232" spans="1:10" x14ac:dyDescent="0.3">
      <c r="A232" t="s">
        <v>79</v>
      </c>
      <c r="B232">
        <v>45717</v>
      </c>
      <c r="C232" t="s">
        <v>15</v>
      </c>
      <c r="D232" t="s">
        <v>18</v>
      </c>
      <c r="E232">
        <f t="shared" si="18"/>
        <v>0</v>
      </c>
      <c r="F232">
        <f t="shared" si="19"/>
        <v>0</v>
      </c>
      <c r="G232">
        <f t="shared" si="20"/>
        <v>0</v>
      </c>
      <c r="H232">
        <f t="shared" si="21"/>
        <v>1</v>
      </c>
      <c r="I232">
        <f t="shared" si="22"/>
        <v>0</v>
      </c>
      <c r="J232">
        <f t="shared" si="23"/>
        <v>0</v>
      </c>
    </row>
    <row r="233" spans="1:10" x14ac:dyDescent="0.3">
      <c r="A233" t="s">
        <v>79</v>
      </c>
      <c r="B233">
        <v>45748</v>
      </c>
      <c r="C233" t="s">
        <v>15</v>
      </c>
      <c r="D233" t="s">
        <v>18</v>
      </c>
      <c r="E233">
        <f t="shared" si="18"/>
        <v>0</v>
      </c>
      <c r="F233">
        <f t="shared" si="19"/>
        <v>0</v>
      </c>
      <c r="G233">
        <f t="shared" si="20"/>
        <v>0</v>
      </c>
      <c r="H233">
        <f t="shared" si="21"/>
        <v>1</v>
      </c>
      <c r="I233">
        <f t="shared" si="22"/>
        <v>0</v>
      </c>
      <c r="J233">
        <f t="shared" si="23"/>
        <v>0</v>
      </c>
    </row>
    <row r="234" spans="1:10" x14ac:dyDescent="0.3">
      <c r="A234" t="s">
        <v>80</v>
      </c>
      <c r="B234">
        <v>45658</v>
      </c>
      <c r="C234" t="s">
        <v>27</v>
      </c>
      <c r="D234" t="s">
        <v>16</v>
      </c>
      <c r="E234">
        <f t="shared" si="18"/>
        <v>0</v>
      </c>
      <c r="F234">
        <f t="shared" si="19"/>
        <v>0</v>
      </c>
      <c r="G234">
        <f t="shared" si="20"/>
        <v>1</v>
      </c>
      <c r="H234">
        <f t="shared" si="21"/>
        <v>0</v>
      </c>
      <c r="I234">
        <f t="shared" si="22"/>
        <v>0</v>
      </c>
      <c r="J234">
        <f t="shared" si="23"/>
        <v>0</v>
      </c>
    </row>
    <row r="235" spans="1:10" x14ac:dyDescent="0.3">
      <c r="A235" t="s">
        <v>80</v>
      </c>
      <c r="B235">
        <v>45689</v>
      </c>
      <c r="C235" t="s">
        <v>27</v>
      </c>
      <c r="D235" t="s">
        <v>16</v>
      </c>
      <c r="E235">
        <f t="shared" si="18"/>
        <v>0</v>
      </c>
      <c r="F235">
        <f t="shared" si="19"/>
        <v>0</v>
      </c>
      <c r="G235">
        <f t="shared" si="20"/>
        <v>1</v>
      </c>
      <c r="H235">
        <f t="shared" si="21"/>
        <v>0</v>
      </c>
      <c r="I235">
        <f t="shared" si="22"/>
        <v>0</v>
      </c>
      <c r="J235">
        <f t="shared" si="23"/>
        <v>0</v>
      </c>
    </row>
    <row r="236" spans="1:10" x14ac:dyDescent="0.3">
      <c r="A236" t="s">
        <v>80</v>
      </c>
      <c r="B236">
        <v>45717</v>
      </c>
      <c r="C236" t="s">
        <v>27</v>
      </c>
      <c r="D236" t="s">
        <v>16</v>
      </c>
      <c r="E236">
        <f t="shared" si="18"/>
        <v>0</v>
      </c>
      <c r="F236">
        <f t="shared" si="19"/>
        <v>0</v>
      </c>
      <c r="G236">
        <f t="shared" si="20"/>
        <v>1</v>
      </c>
      <c r="H236">
        <f t="shared" si="21"/>
        <v>0</v>
      </c>
      <c r="I236">
        <f t="shared" si="22"/>
        <v>0</v>
      </c>
      <c r="J236">
        <f t="shared" si="23"/>
        <v>0</v>
      </c>
    </row>
    <row r="237" spans="1:10" x14ac:dyDescent="0.3">
      <c r="A237" t="s">
        <v>80</v>
      </c>
      <c r="B237">
        <v>45748</v>
      </c>
      <c r="C237" t="s">
        <v>27</v>
      </c>
      <c r="D237" t="s">
        <v>16</v>
      </c>
      <c r="E237">
        <f t="shared" si="18"/>
        <v>0</v>
      </c>
      <c r="F237">
        <f t="shared" si="19"/>
        <v>0</v>
      </c>
      <c r="G237">
        <f t="shared" si="20"/>
        <v>1</v>
      </c>
      <c r="H237">
        <f t="shared" si="21"/>
        <v>0</v>
      </c>
      <c r="I237">
        <f t="shared" si="22"/>
        <v>0</v>
      </c>
      <c r="J237">
        <f t="shared" si="23"/>
        <v>0</v>
      </c>
    </row>
    <row r="238" spans="1:10" x14ac:dyDescent="0.3">
      <c r="A238" t="s">
        <v>81</v>
      </c>
      <c r="B238">
        <v>45658</v>
      </c>
      <c r="C238" t="s">
        <v>27</v>
      </c>
      <c r="D238" t="s">
        <v>28</v>
      </c>
      <c r="E238">
        <f t="shared" si="18"/>
        <v>0</v>
      </c>
      <c r="F238">
        <f t="shared" si="19"/>
        <v>0</v>
      </c>
      <c r="G238">
        <f t="shared" si="20"/>
        <v>1</v>
      </c>
      <c r="H238">
        <f t="shared" si="21"/>
        <v>0</v>
      </c>
      <c r="I238">
        <f t="shared" si="22"/>
        <v>0</v>
      </c>
      <c r="J238">
        <f t="shared" si="23"/>
        <v>1</v>
      </c>
    </row>
    <row r="239" spans="1:10" x14ac:dyDescent="0.3">
      <c r="A239" t="s">
        <v>81</v>
      </c>
      <c r="B239">
        <v>45689</v>
      </c>
      <c r="C239" t="s">
        <v>27</v>
      </c>
      <c r="D239" t="s">
        <v>28</v>
      </c>
      <c r="E239">
        <f t="shared" si="18"/>
        <v>0</v>
      </c>
      <c r="F239">
        <f t="shared" si="19"/>
        <v>0</v>
      </c>
      <c r="G239">
        <f t="shared" si="20"/>
        <v>1</v>
      </c>
      <c r="H239">
        <f t="shared" si="21"/>
        <v>0</v>
      </c>
      <c r="I239">
        <f t="shared" si="22"/>
        <v>0</v>
      </c>
      <c r="J239">
        <f t="shared" si="23"/>
        <v>1</v>
      </c>
    </row>
    <row r="240" spans="1:10" x14ac:dyDescent="0.3">
      <c r="A240" t="s">
        <v>81</v>
      </c>
      <c r="B240">
        <v>45717</v>
      </c>
      <c r="C240" t="s">
        <v>27</v>
      </c>
      <c r="D240" t="s">
        <v>28</v>
      </c>
      <c r="E240">
        <f t="shared" si="18"/>
        <v>0</v>
      </c>
      <c r="F240">
        <f t="shared" si="19"/>
        <v>0</v>
      </c>
      <c r="G240">
        <f t="shared" si="20"/>
        <v>1</v>
      </c>
      <c r="H240">
        <f t="shared" si="21"/>
        <v>0</v>
      </c>
      <c r="I240">
        <f t="shared" si="22"/>
        <v>0</v>
      </c>
      <c r="J240">
        <f t="shared" si="23"/>
        <v>1</v>
      </c>
    </row>
    <row r="241" spans="1:10" x14ac:dyDescent="0.3">
      <c r="A241" t="s">
        <v>81</v>
      </c>
      <c r="B241">
        <v>45748</v>
      </c>
      <c r="C241" t="s">
        <v>27</v>
      </c>
      <c r="D241" t="s">
        <v>28</v>
      </c>
      <c r="E241">
        <f t="shared" si="18"/>
        <v>0</v>
      </c>
      <c r="F241">
        <f t="shared" si="19"/>
        <v>0</v>
      </c>
      <c r="G241">
        <f t="shared" si="20"/>
        <v>1</v>
      </c>
      <c r="H241">
        <f t="shared" si="21"/>
        <v>0</v>
      </c>
      <c r="I241">
        <f t="shared" si="22"/>
        <v>0</v>
      </c>
      <c r="J241">
        <f t="shared" si="23"/>
        <v>1</v>
      </c>
    </row>
    <row r="242" spans="1:10" x14ac:dyDescent="0.3">
      <c r="A242" t="s">
        <v>82</v>
      </c>
      <c r="B242">
        <v>45658</v>
      </c>
      <c r="C242" t="s">
        <v>24</v>
      </c>
      <c r="D242" t="s">
        <v>21</v>
      </c>
      <c r="E242">
        <f t="shared" si="18"/>
        <v>0</v>
      </c>
      <c r="F242">
        <f t="shared" si="19"/>
        <v>1</v>
      </c>
      <c r="G242">
        <f t="shared" si="20"/>
        <v>0</v>
      </c>
      <c r="H242">
        <f t="shared" si="21"/>
        <v>0</v>
      </c>
      <c r="I242">
        <f t="shared" si="22"/>
        <v>1</v>
      </c>
      <c r="J242">
        <f t="shared" si="23"/>
        <v>0</v>
      </c>
    </row>
    <row r="243" spans="1:10" x14ac:dyDescent="0.3">
      <c r="A243" t="s">
        <v>82</v>
      </c>
      <c r="B243">
        <v>45689</v>
      </c>
      <c r="C243" t="s">
        <v>24</v>
      </c>
      <c r="D243" t="s">
        <v>21</v>
      </c>
      <c r="E243">
        <f t="shared" si="18"/>
        <v>0</v>
      </c>
      <c r="F243">
        <f t="shared" si="19"/>
        <v>1</v>
      </c>
      <c r="G243">
        <f t="shared" si="20"/>
        <v>0</v>
      </c>
      <c r="H243">
        <f t="shared" si="21"/>
        <v>0</v>
      </c>
      <c r="I243">
        <f t="shared" si="22"/>
        <v>1</v>
      </c>
      <c r="J243">
        <f t="shared" si="23"/>
        <v>0</v>
      </c>
    </row>
    <row r="244" spans="1:10" x14ac:dyDescent="0.3">
      <c r="A244" t="s">
        <v>82</v>
      </c>
      <c r="B244">
        <v>45717</v>
      </c>
      <c r="C244" t="s">
        <v>24</v>
      </c>
      <c r="D244" t="s">
        <v>21</v>
      </c>
      <c r="E244">
        <f t="shared" si="18"/>
        <v>0</v>
      </c>
      <c r="F244">
        <f t="shared" si="19"/>
        <v>1</v>
      </c>
      <c r="G244">
        <f t="shared" si="20"/>
        <v>0</v>
      </c>
      <c r="H244">
        <f t="shared" si="21"/>
        <v>0</v>
      </c>
      <c r="I244">
        <f t="shared" si="22"/>
        <v>1</v>
      </c>
      <c r="J244">
        <f t="shared" si="23"/>
        <v>0</v>
      </c>
    </row>
    <row r="245" spans="1:10" x14ac:dyDescent="0.3">
      <c r="A245" t="s">
        <v>82</v>
      </c>
      <c r="B245">
        <v>45748</v>
      </c>
      <c r="C245" t="s">
        <v>24</v>
      </c>
      <c r="D245" t="s">
        <v>21</v>
      </c>
      <c r="E245">
        <f t="shared" si="18"/>
        <v>0</v>
      </c>
      <c r="F245">
        <f t="shared" si="19"/>
        <v>1</v>
      </c>
      <c r="G245">
        <f t="shared" si="20"/>
        <v>0</v>
      </c>
      <c r="H245">
        <f t="shared" si="21"/>
        <v>0</v>
      </c>
      <c r="I245">
        <f t="shared" si="22"/>
        <v>1</v>
      </c>
      <c r="J245">
        <f t="shared" si="23"/>
        <v>0</v>
      </c>
    </row>
    <row r="246" spans="1:10" x14ac:dyDescent="0.3">
      <c r="A246" t="s">
        <v>83</v>
      </c>
      <c r="B246">
        <v>45658</v>
      </c>
      <c r="C246" t="s">
        <v>15</v>
      </c>
      <c r="D246" t="s">
        <v>18</v>
      </c>
      <c r="E246">
        <f t="shared" si="18"/>
        <v>0</v>
      </c>
      <c r="F246">
        <f t="shared" si="19"/>
        <v>0</v>
      </c>
      <c r="G246">
        <f t="shared" si="20"/>
        <v>0</v>
      </c>
      <c r="H246">
        <f t="shared" si="21"/>
        <v>1</v>
      </c>
      <c r="I246">
        <f t="shared" si="22"/>
        <v>0</v>
      </c>
      <c r="J246">
        <f t="shared" si="23"/>
        <v>0</v>
      </c>
    </row>
    <row r="247" spans="1:10" x14ac:dyDescent="0.3">
      <c r="A247" t="s">
        <v>83</v>
      </c>
      <c r="B247">
        <v>45689</v>
      </c>
      <c r="C247" t="s">
        <v>15</v>
      </c>
      <c r="D247" t="s">
        <v>18</v>
      </c>
      <c r="E247">
        <f t="shared" si="18"/>
        <v>0</v>
      </c>
      <c r="F247">
        <f t="shared" si="19"/>
        <v>0</v>
      </c>
      <c r="G247">
        <f t="shared" si="20"/>
        <v>0</v>
      </c>
      <c r="H247">
        <f t="shared" si="21"/>
        <v>1</v>
      </c>
      <c r="I247">
        <f t="shared" si="22"/>
        <v>0</v>
      </c>
      <c r="J247">
        <f t="shared" si="23"/>
        <v>0</v>
      </c>
    </row>
    <row r="248" spans="1:10" x14ac:dyDescent="0.3">
      <c r="A248" t="s">
        <v>83</v>
      </c>
      <c r="B248">
        <v>45717</v>
      </c>
      <c r="C248" t="s">
        <v>15</v>
      </c>
      <c r="D248" t="s">
        <v>18</v>
      </c>
      <c r="E248">
        <f t="shared" si="18"/>
        <v>0</v>
      </c>
      <c r="F248">
        <f t="shared" si="19"/>
        <v>0</v>
      </c>
      <c r="G248">
        <f t="shared" si="20"/>
        <v>0</v>
      </c>
      <c r="H248">
        <f t="shared" si="21"/>
        <v>1</v>
      </c>
      <c r="I248">
        <f t="shared" si="22"/>
        <v>0</v>
      </c>
      <c r="J248">
        <f t="shared" si="23"/>
        <v>0</v>
      </c>
    </row>
    <row r="249" spans="1:10" x14ac:dyDescent="0.3">
      <c r="A249" t="s">
        <v>83</v>
      </c>
      <c r="B249">
        <v>45748</v>
      </c>
      <c r="C249" t="s">
        <v>15</v>
      </c>
      <c r="D249" t="s">
        <v>18</v>
      </c>
      <c r="E249">
        <f t="shared" si="18"/>
        <v>0</v>
      </c>
      <c r="F249">
        <f t="shared" si="19"/>
        <v>0</v>
      </c>
      <c r="G249">
        <f t="shared" si="20"/>
        <v>0</v>
      </c>
      <c r="H249">
        <f t="shared" si="21"/>
        <v>1</v>
      </c>
      <c r="I249">
        <f t="shared" si="22"/>
        <v>0</v>
      </c>
      <c r="J249">
        <f t="shared" si="23"/>
        <v>0</v>
      </c>
    </row>
    <row r="250" spans="1:10" x14ac:dyDescent="0.3">
      <c r="A250" t="s">
        <v>84</v>
      </c>
      <c r="B250">
        <v>45658</v>
      </c>
      <c r="C250" t="s">
        <v>20</v>
      </c>
      <c r="D250" t="s">
        <v>18</v>
      </c>
      <c r="E250">
        <f t="shared" si="18"/>
        <v>1</v>
      </c>
      <c r="F250">
        <f t="shared" si="19"/>
        <v>0</v>
      </c>
      <c r="G250">
        <f t="shared" si="20"/>
        <v>0</v>
      </c>
      <c r="H250">
        <f t="shared" si="21"/>
        <v>1</v>
      </c>
      <c r="I250">
        <f t="shared" si="22"/>
        <v>0</v>
      </c>
      <c r="J250">
        <f t="shared" si="23"/>
        <v>0</v>
      </c>
    </row>
    <row r="251" spans="1:10" x14ac:dyDescent="0.3">
      <c r="A251" t="s">
        <v>84</v>
      </c>
      <c r="B251">
        <v>45689</v>
      </c>
      <c r="C251" t="s">
        <v>20</v>
      </c>
      <c r="D251" t="s">
        <v>18</v>
      </c>
      <c r="E251">
        <f t="shared" si="18"/>
        <v>1</v>
      </c>
      <c r="F251">
        <f t="shared" si="19"/>
        <v>0</v>
      </c>
      <c r="G251">
        <f t="shared" si="20"/>
        <v>0</v>
      </c>
      <c r="H251">
        <f t="shared" si="21"/>
        <v>1</v>
      </c>
      <c r="I251">
        <f t="shared" si="22"/>
        <v>0</v>
      </c>
      <c r="J251">
        <f t="shared" si="23"/>
        <v>0</v>
      </c>
    </row>
    <row r="252" spans="1:10" x14ac:dyDescent="0.3">
      <c r="A252" t="s">
        <v>84</v>
      </c>
      <c r="B252">
        <v>45717</v>
      </c>
      <c r="C252" t="s">
        <v>20</v>
      </c>
      <c r="D252" t="s">
        <v>18</v>
      </c>
      <c r="E252">
        <f t="shared" si="18"/>
        <v>1</v>
      </c>
      <c r="F252">
        <f t="shared" si="19"/>
        <v>0</v>
      </c>
      <c r="G252">
        <f t="shared" si="20"/>
        <v>0</v>
      </c>
      <c r="H252">
        <f t="shared" si="21"/>
        <v>1</v>
      </c>
      <c r="I252">
        <f t="shared" si="22"/>
        <v>0</v>
      </c>
      <c r="J252">
        <f t="shared" si="23"/>
        <v>0</v>
      </c>
    </row>
    <row r="253" spans="1:10" x14ac:dyDescent="0.3">
      <c r="A253" t="s">
        <v>84</v>
      </c>
      <c r="B253">
        <v>45748</v>
      </c>
      <c r="C253" t="s">
        <v>20</v>
      </c>
      <c r="D253" t="s">
        <v>18</v>
      </c>
      <c r="E253">
        <f t="shared" si="18"/>
        <v>1</v>
      </c>
      <c r="F253">
        <f t="shared" si="19"/>
        <v>0</v>
      </c>
      <c r="G253">
        <f t="shared" si="20"/>
        <v>0</v>
      </c>
      <c r="H253">
        <f t="shared" si="21"/>
        <v>1</v>
      </c>
      <c r="I253">
        <f t="shared" si="22"/>
        <v>0</v>
      </c>
      <c r="J253">
        <f t="shared" si="23"/>
        <v>0</v>
      </c>
    </row>
    <row r="254" spans="1:10" x14ac:dyDescent="0.3">
      <c r="A254" t="s">
        <v>85</v>
      </c>
      <c r="B254">
        <v>45658</v>
      </c>
      <c r="C254" t="s">
        <v>24</v>
      </c>
      <c r="D254" t="s">
        <v>21</v>
      </c>
      <c r="E254">
        <f t="shared" si="18"/>
        <v>0</v>
      </c>
      <c r="F254">
        <f t="shared" si="19"/>
        <v>1</v>
      </c>
      <c r="G254">
        <f t="shared" si="20"/>
        <v>0</v>
      </c>
      <c r="H254">
        <f t="shared" si="21"/>
        <v>0</v>
      </c>
      <c r="I254">
        <f t="shared" si="22"/>
        <v>1</v>
      </c>
      <c r="J254">
        <f t="shared" si="23"/>
        <v>0</v>
      </c>
    </row>
    <row r="255" spans="1:10" x14ac:dyDescent="0.3">
      <c r="A255" t="s">
        <v>85</v>
      </c>
      <c r="B255">
        <v>45689</v>
      </c>
      <c r="C255" t="s">
        <v>24</v>
      </c>
      <c r="D255" t="s">
        <v>21</v>
      </c>
      <c r="E255">
        <f t="shared" si="18"/>
        <v>0</v>
      </c>
      <c r="F255">
        <f t="shared" si="19"/>
        <v>1</v>
      </c>
      <c r="G255">
        <f t="shared" si="20"/>
        <v>0</v>
      </c>
      <c r="H255">
        <f t="shared" si="21"/>
        <v>0</v>
      </c>
      <c r="I255">
        <f t="shared" si="22"/>
        <v>1</v>
      </c>
      <c r="J255">
        <f t="shared" si="23"/>
        <v>0</v>
      </c>
    </row>
    <row r="256" spans="1:10" x14ac:dyDescent="0.3">
      <c r="A256" t="s">
        <v>85</v>
      </c>
      <c r="B256">
        <v>45717</v>
      </c>
      <c r="C256" t="s">
        <v>24</v>
      </c>
      <c r="D256" t="s">
        <v>21</v>
      </c>
      <c r="E256">
        <f t="shared" si="18"/>
        <v>0</v>
      </c>
      <c r="F256">
        <f t="shared" si="19"/>
        <v>1</v>
      </c>
      <c r="G256">
        <f t="shared" si="20"/>
        <v>0</v>
      </c>
      <c r="H256">
        <f t="shared" si="21"/>
        <v>0</v>
      </c>
      <c r="I256">
        <f t="shared" si="22"/>
        <v>1</v>
      </c>
      <c r="J256">
        <f t="shared" si="23"/>
        <v>0</v>
      </c>
    </row>
    <row r="257" spans="1:10" x14ac:dyDescent="0.3">
      <c r="A257" t="s">
        <v>85</v>
      </c>
      <c r="B257">
        <v>45748</v>
      </c>
      <c r="C257" t="s">
        <v>24</v>
      </c>
      <c r="D257" t="s">
        <v>21</v>
      </c>
      <c r="E257">
        <f t="shared" si="18"/>
        <v>0</v>
      </c>
      <c r="F257">
        <f t="shared" si="19"/>
        <v>1</v>
      </c>
      <c r="G257">
        <f t="shared" si="20"/>
        <v>0</v>
      </c>
      <c r="H257">
        <f t="shared" si="21"/>
        <v>0</v>
      </c>
      <c r="I257">
        <f t="shared" si="22"/>
        <v>1</v>
      </c>
      <c r="J257">
        <f t="shared" si="23"/>
        <v>0</v>
      </c>
    </row>
    <row r="258" spans="1:10" x14ac:dyDescent="0.3">
      <c r="A258" t="s">
        <v>86</v>
      </c>
      <c r="B258">
        <v>45658</v>
      </c>
      <c r="C258" t="s">
        <v>24</v>
      </c>
      <c r="D258" t="s">
        <v>28</v>
      </c>
      <c r="E258">
        <f t="shared" si="18"/>
        <v>0</v>
      </c>
      <c r="F258">
        <f t="shared" si="19"/>
        <v>1</v>
      </c>
      <c r="G258">
        <f t="shared" si="20"/>
        <v>0</v>
      </c>
      <c r="H258">
        <f t="shared" si="21"/>
        <v>0</v>
      </c>
      <c r="I258">
        <f t="shared" si="22"/>
        <v>0</v>
      </c>
      <c r="J258">
        <f t="shared" si="23"/>
        <v>1</v>
      </c>
    </row>
    <row r="259" spans="1:10" x14ac:dyDescent="0.3">
      <c r="A259" t="s">
        <v>86</v>
      </c>
      <c r="B259">
        <v>45689</v>
      </c>
      <c r="C259" t="s">
        <v>24</v>
      </c>
      <c r="D259" t="s">
        <v>28</v>
      </c>
      <c r="E259">
        <f t="shared" ref="E259:E321" si="24">IF(C259="North",1,0)</f>
        <v>0</v>
      </c>
      <c r="F259">
        <f t="shared" ref="F259:F321" si="25">IF(C259="South",1,0)</f>
        <v>1</v>
      </c>
      <c r="G259">
        <f t="shared" ref="G259:G321" si="26">IF(C259="West",1,0)</f>
        <v>0</v>
      </c>
      <c r="H259">
        <f t="shared" ref="H259:H321" si="27">IF(D259="High Street",1,0)</f>
        <v>0</v>
      </c>
      <c r="I259">
        <f t="shared" ref="I259:I321" si="28">IF(D259="Airport",1,0)</f>
        <v>0</v>
      </c>
      <c r="J259">
        <f t="shared" ref="J259:J321" si="29">IF(D259="Mall",1,0)</f>
        <v>1</v>
      </c>
    </row>
    <row r="260" spans="1:10" x14ac:dyDescent="0.3">
      <c r="A260" t="s">
        <v>86</v>
      </c>
      <c r="B260">
        <v>45717</v>
      </c>
      <c r="C260" t="s">
        <v>24</v>
      </c>
      <c r="D260" t="s">
        <v>28</v>
      </c>
      <c r="E260">
        <f t="shared" si="24"/>
        <v>0</v>
      </c>
      <c r="F260">
        <f t="shared" si="25"/>
        <v>1</v>
      </c>
      <c r="G260">
        <f t="shared" si="26"/>
        <v>0</v>
      </c>
      <c r="H260">
        <f t="shared" si="27"/>
        <v>0</v>
      </c>
      <c r="I260">
        <f t="shared" si="28"/>
        <v>0</v>
      </c>
      <c r="J260">
        <f t="shared" si="29"/>
        <v>1</v>
      </c>
    </row>
    <row r="261" spans="1:10" x14ac:dyDescent="0.3">
      <c r="A261" t="s">
        <v>86</v>
      </c>
      <c r="B261">
        <v>45748</v>
      </c>
      <c r="C261" t="s">
        <v>24</v>
      </c>
      <c r="D261" t="s">
        <v>28</v>
      </c>
      <c r="E261">
        <f t="shared" si="24"/>
        <v>0</v>
      </c>
      <c r="F261">
        <f t="shared" si="25"/>
        <v>1</v>
      </c>
      <c r="G261">
        <f t="shared" si="26"/>
        <v>0</v>
      </c>
      <c r="H261">
        <f t="shared" si="27"/>
        <v>0</v>
      </c>
      <c r="I261">
        <f t="shared" si="28"/>
        <v>0</v>
      </c>
      <c r="J261">
        <f t="shared" si="29"/>
        <v>1</v>
      </c>
    </row>
    <row r="262" spans="1:10" x14ac:dyDescent="0.3">
      <c r="A262" t="s">
        <v>87</v>
      </c>
      <c r="B262">
        <v>45658</v>
      </c>
      <c r="C262" t="s">
        <v>27</v>
      </c>
      <c r="D262" t="s">
        <v>18</v>
      </c>
      <c r="E262">
        <f t="shared" si="24"/>
        <v>0</v>
      </c>
      <c r="F262">
        <f t="shared" si="25"/>
        <v>0</v>
      </c>
      <c r="G262">
        <f t="shared" si="26"/>
        <v>1</v>
      </c>
      <c r="H262">
        <f t="shared" si="27"/>
        <v>1</v>
      </c>
      <c r="I262">
        <f t="shared" si="28"/>
        <v>0</v>
      </c>
      <c r="J262">
        <f t="shared" si="29"/>
        <v>0</v>
      </c>
    </row>
    <row r="263" spans="1:10" x14ac:dyDescent="0.3">
      <c r="A263" t="s">
        <v>87</v>
      </c>
      <c r="B263">
        <v>45689</v>
      </c>
      <c r="C263" t="s">
        <v>27</v>
      </c>
      <c r="D263" t="s">
        <v>18</v>
      </c>
      <c r="E263">
        <f t="shared" si="24"/>
        <v>0</v>
      </c>
      <c r="F263">
        <f t="shared" si="25"/>
        <v>0</v>
      </c>
      <c r="G263">
        <f t="shared" si="26"/>
        <v>1</v>
      </c>
      <c r="H263">
        <f t="shared" si="27"/>
        <v>1</v>
      </c>
      <c r="I263">
        <f t="shared" si="28"/>
        <v>0</v>
      </c>
      <c r="J263">
        <f t="shared" si="29"/>
        <v>0</v>
      </c>
    </row>
    <row r="264" spans="1:10" x14ac:dyDescent="0.3">
      <c r="A264" t="s">
        <v>87</v>
      </c>
      <c r="B264">
        <v>45717</v>
      </c>
      <c r="C264" t="s">
        <v>27</v>
      </c>
      <c r="D264" t="s">
        <v>18</v>
      </c>
      <c r="E264">
        <f t="shared" si="24"/>
        <v>0</v>
      </c>
      <c r="F264">
        <f t="shared" si="25"/>
        <v>0</v>
      </c>
      <c r="G264">
        <f t="shared" si="26"/>
        <v>1</v>
      </c>
      <c r="H264">
        <f t="shared" si="27"/>
        <v>1</v>
      </c>
      <c r="I264">
        <f t="shared" si="28"/>
        <v>0</v>
      </c>
      <c r="J264">
        <f t="shared" si="29"/>
        <v>0</v>
      </c>
    </row>
    <row r="265" spans="1:10" x14ac:dyDescent="0.3">
      <c r="A265" t="s">
        <v>87</v>
      </c>
      <c r="B265">
        <v>45748</v>
      </c>
      <c r="C265" t="s">
        <v>27</v>
      </c>
      <c r="D265" t="s">
        <v>18</v>
      </c>
      <c r="E265">
        <f t="shared" si="24"/>
        <v>0</v>
      </c>
      <c r="F265">
        <f t="shared" si="25"/>
        <v>0</v>
      </c>
      <c r="G265">
        <f t="shared" si="26"/>
        <v>1</v>
      </c>
      <c r="H265">
        <f t="shared" si="27"/>
        <v>1</v>
      </c>
      <c r="I265">
        <f t="shared" si="28"/>
        <v>0</v>
      </c>
      <c r="J265">
        <f t="shared" si="29"/>
        <v>0</v>
      </c>
    </row>
    <row r="266" spans="1:10" x14ac:dyDescent="0.3">
      <c r="A266" t="s">
        <v>88</v>
      </c>
      <c r="B266">
        <v>45658</v>
      </c>
      <c r="C266" t="s">
        <v>15</v>
      </c>
      <c r="D266" t="s">
        <v>18</v>
      </c>
      <c r="E266">
        <f t="shared" si="24"/>
        <v>0</v>
      </c>
      <c r="F266">
        <f t="shared" si="25"/>
        <v>0</v>
      </c>
      <c r="G266">
        <f t="shared" si="26"/>
        <v>0</v>
      </c>
      <c r="H266">
        <f t="shared" si="27"/>
        <v>1</v>
      </c>
      <c r="I266">
        <f t="shared" si="28"/>
        <v>0</v>
      </c>
      <c r="J266">
        <f t="shared" si="29"/>
        <v>0</v>
      </c>
    </row>
    <row r="267" spans="1:10" x14ac:dyDescent="0.3">
      <c r="A267" t="s">
        <v>88</v>
      </c>
      <c r="B267">
        <v>45689</v>
      </c>
      <c r="C267" t="s">
        <v>15</v>
      </c>
      <c r="D267" t="s">
        <v>18</v>
      </c>
      <c r="E267">
        <f t="shared" si="24"/>
        <v>0</v>
      </c>
      <c r="F267">
        <f t="shared" si="25"/>
        <v>0</v>
      </c>
      <c r="G267">
        <f t="shared" si="26"/>
        <v>0</v>
      </c>
      <c r="H267">
        <f t="shared" si="27"/>
        <v>1</v>
      </c>
      <c r="I267">
        <f t="shared" si="28"/>
        <v>0</v>
      </c>
      <c r="J267">
        <f t="shared" si="29"/>
        <v>0</v>
      </c>
    </row>
    <row r="268" spans="1:10" x14ac:dyDescent="0.3">
      <c r="A268" t="s">
        <v>88</v>
      </c>
      <c r="B268">
        <v>45717</v>
      </c>
      <c r="C268" t="s">
        <v>15</v>
      </c>
      <c r="D268" t="s">
        <v>18</v>
      </c>
      <c r="E268">
        <f t="shared" si="24"/>
        <v>0</v>
      </c>
      <c r="F268">
        <f t="shared" si="25"/>
        <v>0</v>
      </c>
      <c r="G268">
        <f t="shared" si="26"/>
        <v>0</v>
      </c>
      <c r="H268">
        <f t="shared" si="27"/>
        <v>1</v>
      </c>
      <c r="I268">
        <f t="shared" si="28"/>
        <v>0</v>
      </c>
      <c r="J268">
        <f t="shared" si="29"/>
        <v>0</v>
      </c>
    </row>
    <row r="269" spans="1:10" x14ac:dyDescent="0.3">
      <c r="A269" t="s">
        <v>88</v>
      </c>
      <c r="B269">
        <v>45748</v>
      </c>
      <c r="C269" t="s">
        <v>15</v>
      </c>
      <c r="D269" t="s">
        <v>18</v>
      </c>
      <c r="E269">
        <f t="shared" si="24"/>
        <v>0</v>
      </c>
      <c r="F269">
        <f t="shared" si="25"/>
        <v>0</v>
      </c>
      <c r="G269">
        <f t="shared" si="26"/>
        <v>0</v>
      </c>
      <c r="H269">
        <f t="shared" si="27"/>
        <v>1</v>
      </c>
      <c r="I269">
        <f t="shared" si="28"/>
        <v>0</v>
      </c>
      <c r="J269">
        <f t="shared" si="29"/>
        <v>0</v>
      </c>
    </row>
    <row r="270" spans="1:10" x14ac:dyDescent="0.3">
      <c r="A270" t="s">
        <v>89</v>
      </c>
      <c r="B270">
        <v>45658</v>
      </c>
      <c r="C270" t="s">
        <v>15</v>
      </c>
      <c r="D270" t="s">
        <v>28</v>
      </c>
      <c r="E270">
        <f t="shared" si="24"/>
        <v>0</v>
      </c>
      <c r="F270">
        <f t="shared" si="25"/>
        <v>0</v>
      </c>
      <c r="G270">
        <f t="shared" si="26"/>
        <v>0</v>
      </c>
      <c r="H270">
        <f t="shared" si="27"/>
        <v>0</v>
      </c>
      <c r="I270">
        <f t="shared" si="28"/>
        <v>0</v>
      </c>
      <c r="J270">
        <f t="shared" si="29"/>
        <v>1</v>
      </c>
    </row>
    <row r="271" spans="1:10" x14ac:dyDescent="0.3">
      <c r="A271" t="s">
        <v>89</v>
      </c>
      <c r="B271">
        <v>45689</v>
      </c>
      <c r="C271" t="s">
        <v>15</v>
      </c>
      <c r="D271" t="s">
        <v>28</v>
      </c>
      <c r="E271">
        <f t="shared" si="24"/>
        <v>0</v>
      </c>
      <c r="F271">
        <f t="shared" si="25"/>
        <v>0</v>
      </c>
      <c r="G271">
        <f t="shared" si="26"/>
        <v>0</v>
      </c>
      <c r="H271">
        <f t="shared" si="27"/>
        <v>0</v>
      </c>
      <c r="I271">
        <f t="shared" si="28"/>
        <v>0</v>
      </c>
      <c r="J271">
        <f t="shared" si="29"/>
        <v>1</v>
      </c>
    </row>
    <row r="272" spans="1:10" x14ac:dyDescent="0.3">
      <c r="A272" t="s">
        <v>89</v>
      </c>
      <c r="B272">
        <v>45717</v>
      </c>
      <c r="C272" t="s">
        <v>15</v>
      </c>
      <c r="D272" t="s">
        <v>28</v>
      </c>
      <c r="E272">
        <f t="shared" si="24"/>
        <v>0</v>
      </c>
      <c r="F272">
        <f t="shared" si="25"/>
        <v>0</v>
      </c>
      <c r="G272">
        <f t="shared" si="26"/>
        <v>0</v>
      </c>
      <c r="H272">
        <f t="shared" si="27"/>
        <v>0</v>
      </c>
      <c r="I272">
        <f t="shared" si="28"/>
        <v>0</v>
      </c>
      <c r="J272">
        <f t="shared" si="29"/>
        <v>1</v>
      </c>
    </row>
    <row r="273" spans="1:10" x14ac:dyDescent="0.3">
      <c r="A273" t="s">
        <v>89</v>
      </c>
      <c r="B273">
        <v>45748</v>
      </c>
      <c r="C273" t="s">
        <v>15</v>
      </c>
      <c r="D273" t="s">
        <v>28</v>
      </c>
      <c r="E273">
        <f t="shared" si="24"/>
        <v>0</v>
      </c>
      <c r="F273">
        <f t="shared" si="25"/>
        <v>0</v>
      </c>
      <c r="G273">
        <f t="shared" si="26"/>
        <v>0</v>
      </c>
      <c r="H273">
        <f t="shared" si="27"/>
        <v>0</v>
      </c>
      <c r="I273">
        <f t="shared" si="28"/>
        <v>0</v>
      </c>
      <c r="J273">
        <f t="shared" si="29"/>
        <v>1</v>
      </c>
    </row>
    <row r="274" spans="1:10" x14ac:dyDescent="0.3">
      <c r="A274" t="s">
        <v>90</v>
      </c>
      <c r="B274">
        <v>45658</v>
      </c>
      <c r="C274" t="s">
        <v>27</v>
      </c>
      <c r="D274" t="s">
        <v>18</v>
      </c>
      <c r="E274">
        <f t="shared" si="24"/>
        <v>0</v>
      </c>
      <c r="F274">
        <f t="shared" si="25"/>
        <v>0</v>
      </c>
      <c r="G274">
        <f t="shared" si="26"/>
        <v>1</v>
      </c>
      <c r="H274">
        <f t="shared" si="27"/>
        <v>1</v>
      </c>
      <c r="I274">
        <f t="shared" si="28"/>
        <v>0</v>
      </c>
      <c r="J274">
        <f t="shared" si="29"/>
        <v>0</v>
      </c>
    </row>
    <row r="275" spans="1:10" x14ac:dyDescent="0.3">
      <c r="A275" t="s">
        <v>90</v>
      </c>
      <c r="B275">
        <v>45689</v>
      </c>
      <c r="C275" t="s">
        <v>27</v>
      </c>
      <c r="D275" t="s">
        <v>18</v>
      </c>
      <c r="E275">
        <f t="shared" si="24"/>
        <v>0</v>
      </c>
      <c r="F275">
        <f t="shared" si="25"/>
        <v>0</v>
      </c>
      <c r="G275">
        <f t="shared" si="26"/>
        <v>1</v>
      </c>
      <c r="H275">
        <f t="shared" si="27"/>
        <v>1</v>
      </c>
      <c r="I275">
        <f t="shared" si="28"/>
        <v>0</v>
      </c>
      <c r="J275">
        <f t="shared" si="29"/>
        <v>0</v>
      </c>
    </row>
    <row r="276" spans="1:10" x14ac:dyDescent="0.3">
      <c r="A276" t="s">
        <v>90</v>
      </c>
      <c r="B276">
        <v>45717</v>
      </c>
      <c r="C276" t="s">
        <v>27</v>
      </c>
      <c r="D276" t="s">
        <v>18</v>
      </c>
      <c r="E276">
        <f t="shared" si="24"/>
        <v>0</v>
      </c>
      <c r="F276">
        <f t="shared" si="25"/>
        <v>0</v>
      </c>
      <c r="G276">
        <f t="shared" si="26"/>
        <v>1</v>
      </c>
      <c r="H276">
        <f t="shared" si="27"/>
        <v>1</v>
      </c>
      <c r="I276">
        <f t="shared" si="28"/>
        <v>0</v>
      </c>
      <c r="J276">
        <f t="shared" si="29"/>
        <v>0</v>
      </c>
    </row>
    <row r="277" spans="1:10" x14ac:dyDescent="0.3">
      <c r="A277" t="s">
        <v>90</v>
      </c>
      <c r="B277">
        <v>45748</v>
      </c>
      <c r="C277" t="s">
        <v>27</v>
      </c>
      <c r="D277" t="s">
        <v>18</v>
      </c>
      <c r="E277">
        <f t="shared" si="24"/>
        <v>0</v>
      </c>
      <c r="F277">
        <f t="shared" si="25"/>
        <v>0</v>
      </c>
      <c r="G277">
        <f t="shared" si="26"/>
        <v>1</v>
      </c>
      <c r="H277">
        <f t="shared" si="27"/>
        <v>1</v>
      </c>
      <c r="I277">
        <f t="shared" si="28"/>
        <v>0</v>
      </c>
      <c r="J277">
        <f t="shared" si="29"/>
        <v>0</v>
      </c>
    </row>
    <row r="278" spans="1:10" x14ac:dyDescent="0.3">
      <c r="A278" t="s">
        <v>91</v>
      </c>
      <c r="B278">
        <v>45658</v>
      </c>
      <c r="C278" t="s">
        <v>24</v>
      </c>
      <c r="D278" t="s">
        <v>16</v>
      </c>
      <c r="E278">
        <f t="shared" si="24"/>
        <v>0</v>
      </c>
      <c r="F278">
        <f t="shared" si="25"/>
        <v>1</v>
      </c>
      <c r="G278">
        <f t="shared" si="26"/>
        <v>0</v>
      </c>
      <c r="H278">
        <f t="shared" si="27"/>
        <v>0</v>
      </c>
      <c r="I278">
        <f t="shared" si="28"/>
        <v>0</v>
      </c>
      <c r="J278">
        <f t="shared" si="29"/>
        <v>0</v>
      </c>
    </row>
    <row r="279" spans="1:10" x14ac:dyDescent="0.3">
      <c r="A279" t="s">
        <v>91</v>
      </c>
      <c r="B279">
        <v>45689</v>
      </c>
      <c r="C279" t="s">
        <v>24</v>
      </c>
      <c r="D279" t="s">
        <v>16</v>
      </c>
      <c r="E279">
        <f t="shared" si="24"/>
        <v>0</v>
      </c>
      <c r="F279">
        <f t="shared" si="25"/>
        <v>1</v>
      </c>
      <c r="G279">
        <f t="shared" si="26"/>
        <v>0</v>
      </c>
      <c r="H279">
        <f t="shared" si="27"/>
        <v>0</v>
      </c>
      <c r="I279">
        <f t="shared" si="28"/>
        <v>0</v>
      </c>
      <c r="J279">
        <f t="shared" si="29"/>
        <v>0</v>
      </c>
    </row>
    <row r="280" spans="1:10" x14ac:dyDescent="0.3">
      <c r="A280" t="s">
        <v>91</v>
      </c>
      <c r="B280">
        <v>45717</v>
      </c>
      <c r="C280" t="s">
        <v>24</v>
      </c>
      <c r="D280" t="s">
        <v>16</v>
      </c>
      <c r="E280">
        <f t="shared" si="24"/>
        <v>0</v>
      </c>
      <c r="F280">
        <f t="shared" si="25"/>
        <v>1</v>
      </c>
      <c r="G280">
        <f t="shared" si="26"/>
        <v>0</v>
      </c>
      <c r="H280">
        <f t="shared" si="27"/>
        <v>0</v>
      </c>
      <c r="I280">
        <f t="shared" si="28"/>
        <v>0</v>
      </c>
      <c r="J280">
        <f t="shared" si="29"/>
        <v>0</v>
      </c>
    </row>
    <row r="281" spans="1:10" x14ac:dyDescent="0.3">
      <c r="A281" t="s">
        <v>91</v>
      </c>
      <c r="B281">
        <v>45748</v>
      </c>
      <c r="C281" t="s">
        <v>24</v>
      </c>
      <c r="D281" t="s">
        <v>16</v>
      </c>
      <c r="E281">
        <f t="shared" si="24"/>
        <v>0</v>
      </c>
      <c r="F281">
        <f t="shared" si="25"/>
        <v>1</v>
      </c>
      <c r="G281">
        <f t="shared" si="26"/>
        <v>0</v>
      </c>
      <c r="H281">
        <f t="shared" si="27"/>
        <v>0</v>
      </c>
      <c r="I281">
        <f t="shared" si="28"/>
        <v>0</v>
      </c>
      <c r="J281">
        <f t="shared" si="29"/>
        <v>0</v>
      </c>
    </row>
    <row r="282" spans="1:10" x14ac:dyDescent="0.3">
      <c r="A282" t="s">
        <v>92</v>
      </c>
      <c r="B282">
        <v>45658</v>
      </c>
      <c r="C282" t="s">
        <v>24</v>
      </c>
      <c r="D282" t="s">
        <v>18</v>
      </c>
      <c r="E282">
        <f t="shared" si="24"/>
        <v>0</v>
      </c>
      <c r="F282">
        <f t="shared" si="25"/>
        <v>1</v>
      </c>
      <c r="G282">
        <f t="shared" si="26"/>
        <v>0</v>
      </c>
      <c r="H282">
        <f t="shared" si="27"/>
        <v>1</v>
      </c>
      <c r="I282">
        <f t="shared" si="28"/>
        <v>0</v>
      </c>
      <c r="J282">
        <f t="shared" si="29"/>
        <v>0</v>
      </c>
    </row>
    <row r="283" spans="1:10" x14ac:dyDescent="0.3">
      <c r="A283" t="s">
        <v>92</v>
      </c>
      <c r="B283">
        <v>45689</v>
      </c>
      <c r="C283" t="s">
        <v>24</v>
      </c>
      <c r="D283" t="s">
        <v>18</v>
      </c>
      <c r="E283">
        <f t="shared" si="24"/>
        <v>0</v>
      </c>
      <c r="F283">
        <f t="shared" si="25"/>
        <v>1</v>
      </c>
      <c r="G283">
        <f t="shared" si="26"/>
        <v>0</v>
      </c>
      <c r="H283">
        <f t="shared" si="27"/>
        <v>1</v>
      </c>
      <c r="I283">
        <f t="shared" si="28"/>
        <v>0</v>
      </c>
      <c r="J283">
        <f t="shared" si="29"/>
        <v>0</v>
      </c>
    </row>
    <row r="284" spans="1:10" x14ac:dyDescent="0.3">
      <c r="A284" t="s">
        <v>92</v>
      </c>
      <c r="B284">
        <v>45717</v>
      </c>
      <c r="C284" t="s">
        <v>24</v>
      </c>
      <c r="D284" t="s">
        <v>18</v>
      </c>
      <c r="E284">
        <f t="shared" si="24"/>
        <v>0</v>
      </c>
      <c r="F284">
        <f t="shared" si="25"/>
        <v>1</v>
      </c>
      <c r="G284">
        <f t="shared" si="26"/>
        <v>0</v>
      </c>
      <c r="H284">
        <f t="shared" si="27"/>
        <v>1</v>
      </c>
      <c r="I284">
        <f t="shared" si="28"/>
        <v>0</v>
      </c>
      <c r="J284">
        <f t="shared" si="29"/>
        <v>0</v>
      </c>
    </row>
    <row r="285" spans="1:10" x14ac:dyDescent="0.3">
      <c r="A285" t="s">
        <v>92</v>
      </c>
      <c r="B285">
        <v>45748</v>
      </c>
      <c r="C285" t="s">
        <v>24</v>
      </c>
      <c r="D285" t="s">
        <v>18</v>
      </c>
      <c r="E285">
        <f t="shared" si="24"/>
        <v>0</v>
      </c>
      <c r="F285">
        <f t="shared" si="25"/>
        <v>1</v>
      </c>
      <c r="G285">
        <f t="shared" si="26"/>
        <v>0</v>
      </c>
      <c r="H285">
        <f t="shared" si="27"/>
        <v>1</v>
      </c>
      <c r="I285">
        <f t="shared" si="28"/>
        <v>0</v>
      </c>
      <c r="J285">
        <f t="shared" si="29"/>
        <v>0</v>
      </c>
    </row>
    <row r="286" spans="1:10" x14ac:dyDescent="0.3">
      <c r="A286" t="s">
        <v>93</v>
      </c>
      <c r="B286">
        <v>45658</v>
      </c>
      <c r="C286" t="s">
        <v>27</v>
      </c>
      <c r="D286" t="s">
        <v>16</v>
      </c>
      <c r="E286">
        <f t="shared" si="24"/>
        <v>0</v>
      </c>
      <c r="F286">
        <f t="shared" si="25"/>
        <v>0</v>
      </c>
      <c r="G286">
        <f t="shared" si="26"/>
        <v>1</v>
      </c>
      <c r="H286">
        <f t="shared" si="27"/>
        <v>0</v>
      </c>
      <c r="I286">
        <f t="shared" si="28"/>
        <v>0</v>
      </c>
      <c r="J286">
        <f t="shared" si="29"/>
        <v>0</v>
      </c>
    </row>
    <row r="287" spans="1:10" x14ac:dyDescent="0.3">
      <c r="A287" t="s">
        <v>93</v>
      </c>
      <c r="B287">
        <v>45689</v>
      </c>
      <c r="C287" t="s">
        <v>27</v>
      </c>
      <c r="D287" t="s">
        <v>16</v>
      </c>
      <c r="E287">
        <f t="shared" si="24"/>
        <v>0</v>
      </c>
      <c r="F287">
        <f t="shared" si="25"/>
        <v>0</v>
      </c>
      <c r="G287">
        <f t="shared" si="26"/>
        <v>1</v>
      </c>
      <c r="H287">
        <f t="shared" si="27"/>
        <v>0</v>
      </c>
      <c r="I287">
        <f t="shared" si="28"/>
        <v>0</v>
      </c>
      <c r="J287">
        <f t="shared" si="29"/>
        <v>0</v>
      </c>
    </row>
    <row r="288" spans="1:10" x14ac:dyDescent="0.3">
      <c r="A288" t="s">
        <v>93</v>
      </c>
      <c r="B288">
        <v>45717</v>
      </c>
      <c r="C288" t="s">
        <v>27</v>
      </c>
      <c r="D288" t="s">
        <v>16</v>
      </c>
      <c r="E288">
        <f t="shared" si="24"/>
        <v>0</v>
      </c>
      <c r="F288">
        <f t="shared" si="25"/>
        <v>0</v>
      </c>
      <c r="G288">
        <f t="shared" si="26"/>
        <v>1</v>
      </c>
      <c r="H288">
        <f t="shared" si="27"/>
        <v>0</v>
      </c>
      <c r="I288">
        <f t="shared" si="28"/>
        <v>0</v>
      </c>
      <c r="J288">
        <f t="shared" si="29"/>
        <v>0</v>
      </c>
    </row>
    <row r="289" spans="1:10" x14ac:dyDescent="0.3">
      <c r="A289" t="s">
        <v>93</v>
      </c>
      <c r="B289">
        <v>45748</v>
      </c>
      <c r="C289" t="s">
        <v>27</v>
      </c>
      <c r="D289" t="s">
        <v>16</v>
      </c>
      <c r="E289">
        <f t="shared" si="24"/>
        <v>0</v>
      </c>
      <c r="F289">
        <f t="shared" si="25"/>
        <v>0</v>
      </c>
      <c r="G289">
        <f t="shared" si="26"/>
        <v>1</v>
      </c>
      <c r="H289">
        <f t="shared" si="27"/>
        <v>0</v>
      </c>
      <c r="I289">
        <f t="shared" si="28"/>
        <v>0</v>
      </c>
      <c r="J289">
        <f t="shared" si="29"/>
        <v>0</v>
      </c>
    </row>
    <row r="290" spans="1:10" x14ac:dyDescent="0.3">
      <c r="A290" t="s">
        <v>94</v>
      </c>
      <c r="B290">
        <v>45658</v>
      </c>
      <c r="C290" t="s">
        <v>15</v>
      </c>
      <c r="D290" t="s">
        <v>16</v>
      </c>
      <c r="E290">
        <f t="shared" si="24"/>
        <v>0</v>
      </c>
      <c r="F290">
        <f t="shared" si="25"/>
        <v>0</v>
      </c>
      <c r="G290">
        <f t="shared" si="26"/>
        <v>0</v>
      </c>
      <c r="H290">
        <f t="shared" si="27"/>
        <v>0</v>
      </c>
      <c r="I290">
        <f t="shared" si="28"/>
        <v>0</v>
      </c>
      <c r="J290">
        <f t="shared" si="29"/>
        <v>0</v>
      </c>
    </row>
    <row r="291" spans="1:10" x14ac:dyDescent="0.3">
      <c r="A291" t="s">
        <v>94</v>
      </c>
      <c r="B291">
        <v>45689</v>
      </c>
      <c r="C291" t="s">
        <v>15</v>
      </c>
      <c r="D291" t="s">
        <v>16</v>
      </c>
      <c r="E291">
        <f t="shared" si="24"/>
        <v>0</v>
      </c>
      <c r="F291">
        <f t="shared" si="25"/>
        <v>0</v>
      </c>
      <c r="G291">
        <f t="shared" si="26"/>
        <v>0</v>
      </c>
      <c r="H291">
        <f t="shared" si="27"/>
        <v>0</v>
      </c>
      <c r="I291">
        <f t="shared" si="28"/>
        <v>0</v>
      </c>
      <c r="J291">
        <f t="shared" si="29"/>
        <v>0</v>
      </c>
    </row>
    <row r="292" spans="1:10" x14ac:dyDescent="0.3">
      <c r="A292" t="s">
        <v>94</v>
      </c>
      <c r="B292">
        <v>45717</v>
      </c>
      <c r="C292" t="s">
        <v>15</v>
      </c>
      <c r="D292" t="s">
        <v>16</v>
      </c>
      <c r="E292">
        <f t="shared" si="24"/>
        <v>0</v>
      </c>
      <c r="F292">
        <f t="shared" si="25"/>
        <v>0</v>
      </c>
      <c r="G292">
        <f t="shared" si="26"/>
        <v>0</v>
      </c>
      <c r="H292">
        <f t="shared" si="27"/>
        <v>0</v>
      </c>
      <c r="I292">
        <f t="shared" si="28"/>
        <v>0</v>
      </c>
      <c r="J292">
        <f t="shared" si="29"/>
        <v>0</v>
      </c>
    </row>
    <row r="293" spans="1:10" x14ac:dyDescent="0.3">
      <c r="A293" t="s">
        <v>94</v>
      </c>
      <c r="B293">
        <v>45748</v>
      </c>
      <c r="C293" t="s">
        <v>15</v>
      </c>
      <c r="D293" t="s">
        <v>16</v>
      </c>
      <c r="E293">
        <f t="shared" si="24"/>
        <v>0</v>
      </c>
      <c r="F293">
        <f t="shared" si="25"/>
        <v>0</v>
      </c>
      <c r="G293">
        <f t="shared" si="26"/>
        <v>0</v>
      </c>
      <c r="H293">
        <f t="shared" si="27"/>
        <v>0</v>
      </c>
      <c r="I293">
        <f t="shared" si="28"/>
        <v>0</v>
      </c>
      <c r="J293">
        <f t="shared" si="29"/>
        <v>0</v>
      </c>
    </row>
    <row r="294" spans="1:10" x14ac:dyDescent="0.3">
      <c r="A294" t="s">
        <v>95</v>
      </c>
      <c r="B294">
        <v>45658</v>
      </c>
      <c r="C294" t="s">
        <v>27</v>
      </c>
      <c r="D294" t="s">
        <v>18</v>
      </c>
      <c r="E294">
        <f t="shared" si="24"/>
        <v>0</v>
      </c>
      <c r="F294">
        <f t="shared" si="25"/>
        <v>0</v>
      </c>
      <c r="G294">
        <f t="shared" si="26"/>
        <v>1</v>
      </c>
      <c r="H294">
        <f t="shared" si="27"/>
        <v>1</v>
      </c>
      <c r="I294">
        <f t="shared" si="28"/>
        <v>0</v>
      </c>
      <c r="J294">
        <f t="shared" si="29"/>
        <v>0</v>
      </c>
    </row>
    <row r="295" spans="1:10" x14ac:dyDescent="0.3">
      <c r="A295" t="s">
        <v>95</v>
      </c>
      <c r="B295">
        <v>45689</v>
      </c>
      <c r="C295" t="s">
        <v>27</v>
      </c>
      <c r="D295" t="s">
        <v>18</v>
      </c>
      <c r="E295">
        <f t="shared" si="24"/>
        <v>0</v>
      </c>
      <c r="F295">
        <f t="shared" si="25"/>
        <v>0</v>
      </c>
      <c r="G295">
        <f t="shared" si="26"/>
        <v>1</v>
      </c>
      <c r="H295">
        <f t="shared" si="27"/>
        <v>1</v>
      </c>
      <c r="I295">
        <f t="shared" si="28"/>
        <v>0</v>
      </c>
      <c r="J295">
        <f t="shared" si="29"/>
        <v>0</v>
      </c>
    </row>
    <row r="296" spans="1:10" x14ac:dyDescent="0.3">
      <c r="A296" t="s">
        <v>95</v>
      </c>
      <c r="B296">
        <v>45717</v>
      </c>
      <c r="C296" t="s">
        <v>27</v>
      </c>
      <c r="D296" t="s">
        <v>18</v>
      </c>
      <c r="E296">
        <f t="shared" si="24"/>
        <v>0</v>
      </c>
      <c r="F296">
        <f t="shared" si="25"/>
        <v>0</v>
      </c>
      <c r="G296">
        <f t="shared" si="26"/>
        <v>1</v>
      </c>
      <c r="H296">
        <f t="shared" si="27"/>
        <v>1</v>
      </c>
      <c r="I296">
        <f t="shared" si="28"/>
        <v>0</v>
      </c>
      <c r="J296">
        <f t="shared" si="29"/>
        <v>0</v>
      </c>
    </row>
    <row r="297" spans="1:10" x14ac:dyDescent="0.3">
      <c r="A297" t="s">
        <v>95</v>
      </c>
      <c r="B297">
        <v>45748</v>
      </c>
      <c r="C297" t="s">
        <v>27</v>
      </c>
      <c r="D297" t="s">
        <v>18</v>
      </c>
      <c r="E297">
        <f t="shared" si="24"/>
        <v>0</v>
      </c>
      <c r="F297">
        <f t="shared" si="25"/>
        <v>0</v>
      </c>
      <c r="G297">
        <f t="shared" si="26"/>
        <v>1</v>
      </c>
      <c r="H297">
        <f t="shared" si="27"/>
        <v>1</v>
      </c>
      <c r="I297">
        <f t="shared" si="28"/>
        <v>0</v>
      </c>
      <c r="J297">
        <f t="shared" si="29"/>
        <v>0</v>
      </c>
    </row>
    <row r="298" spans="1:10" x14ac:dyDescent="0.3">
      <c r="A298" t="s">
        <v>96</v>
      </c>
      <c r="B298">
        <v>45658</v>
      </c>
      <c r="C298" t="s">
        <v>27</v>
      </c>
      <c r="D298" t="s">
        <v>18</v>
      </c>
      <c r="E298">
        <f t="shared" si="24"/>
        <v>0</v>
      </c>
      <c r="F298">
        <f t="shared" si="25"/>
        <v>0</v>
      </c>
      <c r="G298">
        <f t="shared" si="26"/>
        <v>1</v>
      </c>
      <c r="H298">
        <f t="shared" si="27"/>
        <v>1</v>
      </c>
      <c r="I298">
        <f t="shared" si="28"/>
        <v>0</v>
      </c>
      <c r="J298">
        <f t="shared" si="29"/>
        <v>0</v>
      </c>
    </row>
    <row r="299" spans="1:10" x14ac:dyDescent="0.3">
      <c r="A299" t="s">
        <v>96</v>
      </c>
      <c r="B299">
        <v>45689</v>
      </c>
      <c r="C299" t="s">
        <v>27</v>
      </c>
      <c r="D299" t="s">
        <v>18</v>
      </c>
      <c r="E299">
        <f t="shared" si="24"/>
        <v>0</v>
      </c>
      <c r="F299">
        <f t="shared" si="25"/>
        <v>0</v>
      </c>
      <c r="G299">
        <f t="shared" si="26"/>
        <v>1</v>
      </c>
      <c r="H299">
        <f t="shared" si="27"/>
        <v>1</v>
      </c>
      <c r="I299">
        <f t="shared" si="28"/>
        <v>0</v>
      </c>
      <c r="J299">
        <f t="shared" si="29"/>
        <v>0</v>
      </c>
    </row>
    <row r="300" spans="1:10" x14ac:dyDescent="0.3">
      <c r="A300" t="s">
        <v>96</v>
      </c>
      <c r="B300">
        <v>45717</v>
      </c>
      <c r="C300" t="s">
        <v>27</v>
      </c>
      <c r="D300" t="s">
        <v>18</v>
      </c>
      <c r="E300">
        <f t="shared" si="24"/>
        <v>0</v>
      </c>
      <c r="F300">
        <f t="shared" si="25"/>
        <v>0</v>
      </c>
      <c r="G300">
        <f t="shared" si="26"/>
        <v>1</v>
      </c>
      <c r="H300">
        <f t="shared" si="27"/>
        <v>1</v>
      </c>
      <c r="I300">
        <f t="shared" si="28"/>
        <v>0</v>
      </c>
      <c r="J300">
        <f t="shared" si="29"/>
        <v>0</v>
      </c>
    </row>
    <row r="301" spans="1:10" x14ac:dyDescent="0.3">
      <c r="A301" t="s">
        <v>96</v>
      </c>
      <c r="B301">
        <v>45748</v>
      </c>
      <c r="C301" t="s">
        <v>27</v>
      </c>
      <c r="D301" t="s">
        <v>18</v>
      </c>
      <c r="E301">
        <f t="shared" si="24"/>
        <v>0</v>
      </c>
      <c r="F301">
        <f t="shared" si="25"/>
        <v>0</v>
      </c>
      <c r="G301">
        <f t="shared" si="26"/>
        <v>1</v>
      </c>
      <c r="H301">
        <f t="shared" si="27"/>
        <v>1</v>
      </c>
      <c r="I301">
        <f t="shared" si="28"/>
        <v>0</v>
      </c>
      <c r="J301">
        <f t="shared" si="29"/>
        <v>0</v>
      </c>
    </row>
    <row r="302" spans="1:10" x14ac:dyDescent="0.3">
      <c r="A302" t="s">
        <v>97</v>
      </c>
      <c r="B302">
        <v>45658</v>
      </c>
      <c r="C302" t="s">
        <v>20</v>
      </c>
      <c r="D302" t="s">
        <v>28</v>
      </c>
      <c r="E302">
        <f t="shared" si="24"/>
        <v>1</v>
      </c>
      <c r="F302">
        <f t="shared" si="25"/>
        <v>0</v>
      </c>
      <c r="G302">
        <f t="shared" si="26"/>
        <v>0</v>
      </c>
      <c r="H302">
        <f t="shared" si="27"/>
        <v>0</v>
      </c>
      <c r="I302">
        <f t="shared" si="28"/>
        <v>0</v>
      </c>
      <c r="J302">
        <f t="shared" si="29"/>
        <v>1</v>
      </c>
    </row>
    <row r="303" spans="1:10" x14ac:dyDescent="0.3">
      <c r="A303" t="s">
        <v>97</v>
      </c>
      <c r="B303">
        <v>45689</v>
      </c>
      <c r="C303" t="s">
        <v>20</v>
      </c>
      <c r="D303" t="s">
        <v>28</v>
      </c>
      <c r="E303">
        <f t="shared" si="24"/>
        <v>1</v>
      </c>
      <c r="F303">
        <f t="shared" si="25"/>
        <v>0</v>
      </c>
      <c r="G303">
        <f t="shared" si="26"/>
        <v>0</v>
      </c>
      <c r="H303">
        <f t="shared" si="27"/>
        <v>0</v>
      </c>
      <c r="I303">
        <f t="shared" si="28"/>
        <v>0</v>
      </c>
      <c r="J303">
        <f t="shared" si="29"/>
        <v>1</v>
      </c>
    </row>
    <row r="304" spans="1:10" x14ac:dyDescent="0.3">
      <c r="A304" t="s">
        <v>97</v>
      </c>
      <c r="B304">
        <v>45717</v>
      </c>
      <c r="C304" t="s">
        <v>20</v>
      </c>
      <c r="D304" t="s">
        <v>28</v>
      </c>
      <c r="E304">
        <f t="shared" si="24"/>
        <v>1</v>
      </c>
      <c r="F304">
        <f t="shared" si="25"/>
        <v>0</v>
      </c>
      <c r="G304">
        <f t="shared" si="26"/>
        <v>0</v>
      </c>
      <c r="H304">
        <f t="shared" si="27"/>
        <v>0</v>
      </c>
      <c r="I304">
        <f t="shared" si="28"/>
        <v>0</v>
      </c>
      <c r="J304">
        <f t="shared" si="29"/>
        <v>1</v>
      </c>
    </row>
    <row r="305" spans="1:10" x14ac:dyDescent="0.3">
      <c r="A305" t="s">
        <v>97</v>
      </c>
      <c r="B305">
        <v>45748</v>
      </c>
      <c r="C305" t="s">
        <v>20</v>
      </c>
      <c r="D305" t="s">
        <v>28</v>
      </c>
      <c r="E305">
        <f t="shared" si="24"/>
        <v>1</v>
      </c>
      <c r="F305">
        <f t="shared" si="25"/>
        <v>0</v>
      </c>
      <c r="G305">
        <f t="shared" si="26"/>
        <v>0</v>
      </c>
      <c r="H305">
        <f t="shared" si="27"/>
        <v>0</v>
      </c>
      <c r="I305">
        <f t="shared" si="28"/>
        <v>0</v>
      </c>
      <c r="J305">
        <f t="shared" si="29"/>
        <v>1</v>
      </c>
    </row>
    <row r="306" spans="1:10" x14ac:dyDescent="0.3">
      <c r="A306" t="s">
        <v>98</v>
      </c>
      <c r="B306">
        <v>45658</v>
      </c>
      <c r="C306" t="s">
        <v>24</v>
      </c>
      <c r="D306" t="s">
        <v>16</v>
      </c>
      <c r="E306">
        <f t="shared" si="24"/>
        <v>0</v>
      </c>
      <c r="F306">
        <f t="shared" si="25"/>
        <v>1</v>
      </c>
      <c r="G306">
        <f t="shared" si="26"/>
        <v>0</v>
      </c>
      <c r="H306">
        <f t="shared" si="27"/>
        <v>0</v>
      </c>
      <c r="I306">
        <f t="shared" si="28"/>
        <v>0</v>
      </c>
      <c r="J306">
        <f t="shared" si="29"/>
        <v>0</v>
      </c>
    </row>
    <row r="307" spans="1:10" x14ac:dyDescent="0.3">
      <c r="A307" t="s">
        <v>98</v>
      </c>
      <c r="B307">
        <v>45689</v>
      </c>
      <c r="C307" t="s">
        <v>24</v>
      </c>
      <c r="D307" t="s">
        <v>16</v>
      </c>
      <c r="E307">
        <f t="shared" si="24"/>
        <v>0</v>
      </c>
      <c r="F307">
        <f t="shared" si="25"/>
        <v>1</v>
      </c>
      <c r="G307">
        <f t="shared" si="26"/>
        <v>0</v>
      </c>
      <c r="H307">
        <f t="shared" si="27"/>
        <v>0</v>
      </c>
      <c r="I307">
        <f t="shared" si="28"/>
        <v>0</v>
      </c>
      <c r="J307">
        <f t="shared" si="29"/>
        <v>0</v>
      </c>
    </row>
    <row r="308" spans="1:10" x14ac:dyDescent="0.3">
      <c r="A308" t="s">
        <v>98</v>
      </c>
      <c r="B308">
        <v>45717</v>
      </c>
      <c r="C308" t="s">
        <v>24</v>
      </c>
      <c r="D308" t="s">
        <v>16</v>
      </c>
      <c r="E308">
        <f t="shared" si="24"/>
        <v>0</v>
      </c>
      <c r="F308">
        <f t="shared" si="25"/>
        <v>1</v>
      </c>
      <c r="G308">
        <f t="shared" si="26"/>
        <v>0</v>
      </c>
      <c r="H308">
        <f t="shared" si="27"/>
        <v>0</v>
      </c>
      <c r="I308">
        <f t="shared" si="28"/>
        <v>0</v>
      </c>
      <c r="J308">
        <f t="shared" si="29"/>
        <v>0</v>
      </c>
    </row>
    <row r="309" spans="1:10" x14ac:dyDescent="0.3">
      <c r="A309" t="s">
        <v>98</v>
      </c>
      <c r="B309">
        <v>45748</v>
      </c>
      <c r="C309" t="s">
        <v>24</v>
      </c>
      <c r="D309" t="s">
        <v>16</v>
      </c>
      <c r="E309">
        <f t="shared" si="24"/>
        <v>0</v>
      </c>
      <c r="F309">
        <f t="shared" si="25"/>
        <v>1</v>
      </c>
      <c r="G309">
        <f t="shared" si="26"/>
        <v>0</v>
      </c>
      <c r="H309">
        <f t="shared" si="27"/>
        <v>0</v>
      </c>
      <c r="I309">
        <f t="shared" si="28"/>
        <v>0</v>
      </c>
      <c r="J309">
        <f t="shared" si="29"/>
        <v>0</v>
      </c>
    </row>
    <row r="310" spans="1:10" x14ac:dyDescent="0.3">
      <c r="A310" t="s">
        <v>99</v>
      </c>
      <c r="B310">
        <v>45658</v>
      </c>
      <c r="C310" t="s">
        <v>24</v>
      </c>
      <c r="D310" t="s">
        <v>18</v>
      </c>
      <c r="E310">
        <f t="shared" si="24"/>
        <v>0</v>
      </c>
      <c r="F310">
        <f t="shared" si="25"/>
        <v>1</v>
      </c>
      <c r="G310">
        <f t="shared" si="26"/>
        <v>0</v>
      </c>
      <c r="H310">
        <f t="shared" si="27"/>
        <v>1</v>
      </c>
      <c r="I310">
        <f t="shared" si="28"/>
        <v>0</v>
      </c>
      <c r="J310">
        <f t="shared" si="29"/>
        <v>0</v>
      </c>
    </row>
    <row r="311" spans="1:10" x14ac:dyDescent="0.3">
      <c r="A311" t="s">
        <v>99</v>
      </c>
      <c r="B311">
        <v>45689</v>
      </c>
      <c r="C311" t="s">
        <v>24</v>
      </c>
      <c r="D311" t="s">
        <v>18</v>
      </c>
      <c r="E311">
        <f t="shared" si="24"/>
        <v>0</v>
      </c>
      <c r="F311">
        <f t="shared" si="25"/>
        <v>1</v>
      </c>
      <c r="G311">
        <f t="shared" si="26"/>
        <v>0</v>
      </c>
      <c r="H311">
        <f t="shared" si="27"/>
        <v>1</v>
      </c>
      <c r="I311">
        <f t="shared" si="28"/>
        <v>0</v>
      </c>
      <c r="J311">
        <f t="shared" si="29"/>
        <v>0</v>
      </c>
    </row>
    <row r="312" spans="1:10" x14ac:dyDescent="0.3">
      <c r="A312" t="s">
        <v>99</v>
      </c>
      <c r="B312">
        <v>45717</v>
      </c>
      <c r="C312" t="s">
        <v>24</v>
      </c>
      <c r="D312" t="s">
        <v>18</v>
      </c>
      <c r="E312">
        <f t="shared" si="24"/>
        <v>0</v>
      </c>
      <c r="F312">
        <f t="shared" si="25"/>
        <v>1</v>
      </c>
      <c r="G312">
        <f t="shared" si="26"/>
        <v>0</v>
      </c>
      <c r="H312">
        <f t="shared" si="27"/>
        <v>1</v>
      </c>
      <c r="I312">
        <f t="shared" si="28"/>
        <v>0</v>
      </c>
      <c r="J312">
        <f t="shared" si="29"/>
        <v>0</v>
      </c>
    </row>
    <row r="313" spans="1:10" x14ac:dyDescent="0.3">
      <c r="A313" t="s">
        <v>99</v>
      </c>
      <c r="B313">
        <v>45748</v>
      </c>
      <c r="C313" t="s">
        <v>24</v>
      </c>
      <c r="D313" t="s">
        <v>18</v>
      </c>
      <c r="E313">
        <f t="shared" si="24"/>
        <v>0</v>
      </c>
      <c r="F313">
        <f t="shared" si="25"/>
        <v>1</v>
      </c>
      <c r="G313">
        <f t="shared" si="26"/>
        <v>0</v>
      </c>
      <c r="H313">
        <f t="shared" si="27"/>
        <v>1</v>
      </c>
      <c r="I313">
        <f t="shared" si="28"/>
        <v>0</v>
      </c>
      <c r="J313">
        <f t="shared" si="29"/>
        <v>0</v>
      </c>
    </row>
    <row r="314" spans="1:10" x14ac:dyDescent="0.3">
      <c r="A314" t="s">
        <v>100</v>
      </c>
      <c r="B314">
        <v>45658</v>
      </c>
      <c r="C314" t="s">
        <v>20</v>
      </c>
      <c r="D314" t="s">
        <v>16</v>
      </c>
      <c r="E314">
        <f t="shared" si="24"/>
        <v>1</v>
      </c>
      <c r="F314">
        <f t="shared" si="25"/>
        <v>0</v>
      </c>
      <c r="G314">
        <f t="shared" si="26"/>
        <v>0</v>
      </c>
      <c r="H314">
        <f t="shared" si="27"/>
        <v>0</v>
      </c>
      <c r="I314">
        <f t="shared" si="28"/>
        <v>0</v>
      </c>
      <c r="J314">
        <f t="shared" si="29"/>
        <v>0</v>
      </c>
    </row>
    <row r="315" spans="1:10" x14ac:dyDescent="0.3">
      <c r="A315" t="s">
        <v>100</v>
      </c>
      <c r="B315">
        <v>45689</v>
      </c>
      <c r="C315" t="s">
        <v>20</v>
      </c>
      <c r="D315" t="s">
        <v>16</v>
      </c>
      <c r="E315">
        <f t="shared" si="24"/>
        <v>1</v>
      </c>
      <c r="F315">
        <f t="shared" si="25"/>
        <v>0</v>
      </c>
      <c r="G315">
        <f t="shared" si="26"/>
        <v>0</v>
      </c>
      <c r="H315">
        <f t="shared" si="27"/>
        <v>0</v>
      </c>
      <c r="I315">
        <f t="shared" si="28"/>
        <v>0</v>
      </c>
      <c r="J315">
        <f t="shared" si="29"/>
        <v>0</v>
      </c>
    </row>
    <row r="316" spans="1:10" x14ac:dyDescent="0.3">
      <c r="A316" t="s">
        <v>100</v>
      </c>
      <c r="B316">
        <v>45717</v>
      </c>
      <c r="C316" t="s">
        <v>20</v>
      </c>
      <c r="D316" t="s">
        <v>16</v>
      </c>
      <c r="E316">
        <f t="shared" si="24"/>
        <v>1</v>
      </c>
      <c r="F316">
        <f t="shared" si="25"/>
        <v>0</v>
      </c>
      <c r="G316">
        <f t="shared" si="26"/>
        <v>0</v>
      </c>
      <c r="H316">
        <f t="shared" si="27"/>
        <v>0</v>
      </c>
      <c r="I316">
        <f t="shared" si="28"/>
        <v>0</v>
      </c>
      <c r="J316">
        <f t="shared" si="29"/>
        <v>0</v>
      </c>
    </row>
    <row r="317" spans="1:10" x14ac:dyDescent="0.3">
      <c r="A317" t="s">
        <v>100</v>
      </c>
      <c r="B317">
        <v>45748</v>
      </c>
      <c r="C317" t="s">
        <v>20</v>
      </c>
      <c r="D317" t="s">
        <v>16</v>
      </c>
      <c r="E317">
        <f t="shared" si="24"/>
        <v>1</v>
      </c>
      <c r="F317">
        <f t="shared" si="25"/>
        <v>0</v>
      </c>
      <c r="G317">
        <f t="shared" si="26"/>
        <v>0</v>
      </c>
      <c r="H317">
        <f t="shared" si="27"/>
        <v>0</v>
      </c>
      <c r="I317">
        <f t="shared" si="28"/>
        <v>0</v>
      </c>
      <c r="J317">
        <f t="shared" si="29"/>
        <v>0</v>
      </c>
    </row>
    <row r="318" spans="1:10" x14ac:dyDescent="0.3">
      <c r="A318" t="s">
        <v>101</v>
      </c>
      <c r="B318">
        <v>45658</v>
      </c>
      <c r="C318" t="s">
        <v>15</v>
      </c>
      <c r="D318" t="s">
        <v>16</v>
      </c>
      <c r="E318">
        <f t="shared" si="24"/>
        <v>0</v>
      </c>
      <c r="F318">
        <f t="shared" si="25"/>
        <v>0</v>
      </c>
      <c r="G318">
        <f t="shared" si="26"/>
        <v>0</v>
      </c>
      <c r="H318">
        <f t="shared" si="27"/>
        <v>0</v>
      </c>
      <c r="I318">
        <f t="shared" si="28"/>
        <v>0</v>
      </c>
      <c r="J318">
        <f t="shared" si="29"/>
        <v>0</v>
      </c>
    </row>
    <row r="319" spans="1:10" x14ac:dyDescent="0.3">
      <c r="A319" t="s">
        <v>101</v>
      </c>
      <c r="B319">
        <v>45689</v>
      </c>
      <c r="C319" t="s">
        <v>15</v>
      </c>
      <c r="D319" t="s">
        <v>16</v>
      </c>
      <c r="E319">
        <f t="shared" si="24"/>
        <v>0</v>
      </c>
      <c r="F319">
        <f t="shared" si="25"/>
        <v>0</v>
      </c>
      <c r="G319">
        <f t="shared" si="26"/>
        <v>0</v>
      </c>
      <c r="H319">
        <f t="shared" si="27"/>
        <v>0</v>
      </c>
      <c r="I319">
        <f t="shared" si="28"/>
        <v>0</v>
      </c>
      <c r="J319">
        <f t="shared" si="29"/>
        <v>0</v>
      </c>
    </row>
    <row r="320" spans="1:10" x14ac:dyDescent="0.3">
      <c r="A320" t="s">
        <v>101</v>
      </c>
      <c r="B320">
        <v>45717</v>
      </c>
      <c r="C320" t="s">
        <v>15</v>
      </c>
      <c r="D320" t="s">
        <v>16</v>
      </c>
      <c r="E320">
        <f t="shared" si="24"/>
        <v>0</v>
      </c>
      <c r="F320">
        <f t="shared" si="25"/>
        <v>0</v>
      </c>
      <c r="G320">
        <f t="shared" si="26"/>
        <v>0</v>
      </c>
      <c r="H320">
        <f t="shared" si="27"/>
        <v>0</v>
      </c>
      <c r="I320">
        <f t="shared" si="28"/>
        <v>0</v>
      </c>
      <c r="J320">
        <f t="shared" si="29"/>
        <v>0</v>
      </c>
    </row>
    <row r="321" spans="1:10" x14ac:dyDescent="0.3">
      <c r="A321" t="s">
        <v>101</v>
      </c>
      <c r="B321">
        <v>45748</v>
      </c>
      <c r="C321" t="s">
        <v>15</v>
      </c>
      <c r="D321" t="s">
        <v>16</v>
      </c>
      <c r="E321">
        <f t="shared" si="24"/>
        <v>0</v>
      </c>
      <c r="F321">
        <f t="shared" si="25"/>
        <v>0</v>
      </c>
      <c r="G321">
        <f t="shared" si="26"/>
        <v>0</v>
      </c>
      <c r="H321">
        <f t="shared" si="27"/>
        <v>0</v>
      </c>
      <c r="I321">
        <f t="shared" si="28"/>
        <v>0</v>
      </c>
      <c r="J321">
        <f t="shared" si="2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E0E1-07EE-4052-9AD7-DE42EEB059F8}">
  <dimension ref="A1:Z18"/>
  <sheetViews>
    <sheetView tabSelected="1" topLeftCell="Q1" workbookViewId="0">
      <selection activeCell="U24" sqref="U24"/>
    </sheetView>
  </sheetViews>
  <sheetFormatPr defaultRowHeight="14.4" x14ac:dyDescent="0.3"/>
  <sheetData>
    <row r="1" spans="1:26" x14ac:dyDescent="0.3">
      <c r="A1" t="s">
        <v>108</v>
      </c>
      <c r="R1" t="s">
        <v>108</v>
      </c>
    </row>
    <row r="2" spans="1:26" ht="15" thickBot="1" x14ac:dyDescent="0.35"/>
    <row r="3" spans="1:26" x14ac:dyDescent="0.3">
      <c r="A3" s="5" t="s">
        <v>109</v>
      </c>
      <c r="B3" s="5"/>
      <c r="R3" s="5" t="s">
        <v>109</v>
      </c>
      <c r="S3" s="5"/>
    </row>
    <row r="4" spans="1:26" x14ac:dyDescent="0.3">
      <c r="A4" s="2" t="s">
        <v>110</v>
      </c>
      <c r="B4" s="2">
        <v>0.85807070804410468</v>
      </c>
      <c r="R4" s="2" t="s">
        <v>110</v>
      </c>
      <c r="S4" s="2">
        <v>0.40895561021322352</v>
      </c>
    </row>
    <row r="5" spans="1:26" x14ac:dyDescent="0.3">
      <c r="A5" s="2" t="s">
        <v>111</v>
      </c>
      <c r="B5" s="2">
        <v>0.73628534000331114</v>
      </c>
      <c r="R5" s="2" t="s">
        <v>111</v>
      </c>
      <c r="S5" s="2">
        <v>0.16724469112487</v>
      </c>
    </row>
    <row r="6" spans="1:26" x14ac:dyDescent="0.3">
      <c r="A6" s="2" t="s">
        <v>112</v>
      </c>
      <c r="B6" s="2">
        <v>0.73545604861967373</v>
      </c>
      <c r="R6" s="2" t="s">
        <v>112</v>
      </c>
      <c r="S6" s="2">
        <v>0.16462596373847024</v>
      </c>
    </row>
    <row r="7" spans="1:26" x14ac:dyDescent="0.3">
      <c r="A7" s="2" t="s">
        <v>113</v>
      </c>
      <c r="B7" s="2">
        <v>53373.736380790499</v>
      </c>
      <c r="R7" s="2" t="s">
        <v>113</v>
      </c>
      <c r="S7" s="2">
        <v>94846.03383215853</v>
      </c>
    </row>
    <row r="8" spans="1:26" ht="15" thickBot="1" x14ac:dyDescent="0.35">
      <c r="A8" s="3" t="s">
        <v>114</v>
      </c>
      <c r="B8" s="3">
        <v>320</v>
      </c>
      <c r="R8" s="3" t="s">
        <v>114</v>
      </c>
      <c r="S8" s="3">
        <v>320</v>
      </c>
    </row>
    <row r="10" spans="1:26" ht="15" thickBot="1" x14ac:dyDescent="0.35">
      <c r="A10" t="s">
        <v>115</v>
      </c>
      <c r="R10" t="s">
        <v>115</v>
      </c>
    </row>
    <row r="11" spans="1:26" x14ac:dyDescent="0.3">
      <c r="A11" s="4"/>
      <c r="B11" s="4" t="s">
        <v>120</v>
      </c>
      <c r="C11" s="4" t="s">
        <v>121</v>
      </c>
      <c r="D11" s="4" t="s">
        <v>122</v>
      </c>
      <c r="E11" s="4" t="s">
        <v>123</v>
      </c>
      <c r="F11" s="4" t="s">
        <v>124</v>
      </c>
      <c r="R11" s="4"/>
      <c r="S11" s="4" t="s">
        <v>120</v>
      </c>
      <c r="T11" s="4" t="s">
        <v>121</v>
      </c>
      <c r="U11" s="4" t="s">
        <v>122</v>
      </c>
      <c r="V11" s="4" t="s">
        <v>123</v>
      </c>
      <c r="W11" s="4" t="s">
        <v>124</v>
      </c>
    </row>
    <row r="12" spans="1:26" x14ac:dyDescent="0.3">
      <c r="A12" s="2" t="s">
        <v>116</v>
      </c>
      <c r="B12" s="2">
        <v>1</v>
      </c>
      <c r="C12" s="2">
        <v>2529264292982.4736</v>
      </c>
      <c r="D12" s="2">
        <v>2529264292982.4736</v>
      </c>
      <c r="E12" s="2">
        <v>887.84877611276033</v>
      </c>
      <c r="F12" s="2">
        <v>4.7503615090053331E-94</v>
      </c>
      <c r="R12" s="2" t="s">
        <v>116</v>
      </c>
      <c r="S12" s="2">
        <v>1</v>
      </c>
      <c r="T12" s="2">
        <v>574513714277.01416</v>
      </c>
      <c r="U12" s="2">
        <v>574513714277.01416</v>
      </c>
      <c r="V12" s="2">
        <v>63.864872683367629</v>
      </c>
      <c r="W12" s="2">
        <v>2.4800615101359619E-14</v>
      </c>
    </row>
    <row r="13" spans="1:26" x14ac:dyDescent="0.3">
      <c r="A13" s="2" t="s">
        <v>117</v>
      </c>
      <c r="B13" s="2">
        <v>318</v>
      </c>
      <c r="C13" s="2">
        <v>905904323808.26587</v>
      </c>
      <c r="D13" s="2">
        <v>2848755735.246119</v>
      </c>
      <c r="E13" s="2"/>
      <c r="F13" s="2"/>
      <c r="R13" s="2" t="s">
        <v>117</v>
      </c>
      <c r="S13" s="2">
        <v>318</v>
      </c>
      <c r="T13" s="2">
        <v>2860654902513.7251</v>
      </c>
      <c r="U13" s="2">
        <v>8995770133.6909599</v>
      </c>
      <c r="V13" s="2"/>
      <c r="W13" s="2"/>
    </row>
    <row r="14" spans="1:26" ht="15" thickBot="1" x14ac:dyDescent="0.35">
      <c r="A14" s="3" t="s">
        <v>118</v>
      </c>
      <c r="B14" s="3">
        <v>319</v>
      </c>
      <c r="C14" s="3">
        <v>3435168616790.7393</v>
      </c>
      <c r="D14" s="3"/>
      <c r="E14" s="3"/>
      <c r="F14" s="3"/>
      <c r="R14" s="3" t="s">
        <v>118</v>
      </c>
      <c r="S14" s="3">
        <v>319</v>
      </c>
      <c r="T14" s="3">
        <v>3435168616790.7393</v>
      </c>
      <c r="U14" s="3"/>
      <c r="V14" s="3"/>
      <c r="W14" s="3"/>
    </row>
    <row r="15" spans="1:26" ht="15" thickBot="1" x14ac:dyDescent="0.35"/>
    <row r="16" spans="1:26" x14ac:dyDescent="0.3">
      <c r="A16" s="4"/>
      <c r="B16" s="4" t="s">
        <v>125</v>
      </c>
      <c r="C16" s="4" t="s">
        <v>113</v>
      </c>
      <c r="D16" s="4" t="s">
        <v>126</v>
      </c>
      <c r="E16" s="4" t="s">
        <v>127</v>
      </c>
      <c r="F16" s="4" t="s">
        <v>128</v>
      </c>
      <c r="G16" s="4" t="s">
        <v>129</v>
      </c>
      <c r="H16" s="4" t="s">
        <v>130</v>
      </c>
      <c r="I16" s="4" t="s">
        <v>131</v>
      </c>
      <c r="R16" s="4"/>
      <c r="S16" s="4" t="s">
        <v>125</v>
      </c>
      <c r="T16" s="4" t="s">
        <v>113</v>
      </c>
      <c r="U16" s="4" t="s">
        <v>126</v>
      </c>
      <c r="V16" s="4" t="s">
        <v>127</v>
      </c>
      <c r="W16" s="4" t="s">
        <v>128</v>
      </c>
      <c r="X16" s="4" t="s">
        <v>129</v>
      </c>
      <c r="Y16" s="4" t="s">
        <v>130</v>
      </c>
      <c r="Z16" s="4" t="s">
        <v>131</v>
      </c>
    </row>
    <row r="17" spans="1:26" x14ac:dyDescent="0.3">
      <c r="A17" s="2" t="s">
        <v>119</v>
      </c>
      <c r="B17" s="2">
        <v>446410.58293395344</v>
      </c>
      <c r="C17" s="2">
        <v>8407.7382630059928</v>
      </c>
      <c r="D17" s="2">
        <v>53.095204556754318</v>
      </c>
      <c r="E17" s="2">
        <v>4.0862695711507226E-160</v>
      </c>
      <c r="F17" s="2">
        <v>429868.76191129786</v>
      </c>
      <c r="G17" s="2">
        <v>462952.40395660902</v>
      </c>
      <c r="H17" s="2">
        <v>429868.76191129786</v>
      </c>
      <c r="I17" s="2">
        <v>462952.40395660902</v>
      </c>
      <c r="R17" s="2" t="s">
        <v>119</v>
      </c>
      <c r="S17" s="2">
        <v>560777.34544943704</v>
      </c>
      <c r="T17" s="2">
        <v>15906.905953068674</v>
      </c>
      <c r="U17" s="2">
        <v>35.253703460870398</v>
      </c>
      <c r="V17" s="2">
        <v>6.952876876284135E-112</v>
      </c>
      <c r="W17" s="2">
        <v>529481.27234763221</v>
      </c>
      <c r="X17" s="2">
        <v>592073.41855124186</v>
      </c>
      <c r="Y17" s="2">
        <v>529481.27234763221</v>
      </c>
      <c r="Z17" s="2">
        <v>592073.41855124186</v>
      </c>
    </row>
    <row r="18" spans="1:26" ht="15" thickBot="1" x14ac:dyDescent="0.35">
      <c r="A18" s="3" t="s">
        <v>5</v>
      </c>
      <c r="B18" s="3">
        <v>35.678031072640458</v>
      </c>
      <c r="C18" s="3">
        <v>1.1973782890340821</v>
      </c>
      <c r="D18" s="3">
        <v>29.796791372776362</v>
      </c>
      <c r="E18" s="3">
        <v>4.7503615090054677E-94</v>
      </c>
      <c r="F18" s="3">
        <v>33.322246825554025</v>
      </c>
      <c r="G18" s="3">
        <v>38.033815319726891</v>
      </c>
      <c r="H18" s="3">
        <v>33.322246825554025</v>
      </c>
      <c r="I18" s="3">
        <v>38.033815319726891</v>
      </c>
      <c r="R18" s="3" t="s">
        <v>4</v>
      </c>
      <c r="S18" s="3">
        <v>2.1295753275898281</v>
      </c>
      <c r="T18" s="3">
        <v>0.26647838106932348</v>
      </c>
      <c r="U18" s="3">
        <v>7.991550080138869</v>
      </c>
      <c r="V18" s="3">
        <v>2.4800615101360068E-14</v>
      </c>
      <c r="W18" s="3">
        <v>1.6052919176921738</v>
      </c>
      <c r="X18" s="3">
        <v>2.6538587374874822</v>
      </c>
      <c r="Y18" s="3">
        <v>1.6052919176921738</v>
      </c>
      <c r="Z18" s="3">
        <v>2.6538587374874822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824F-8C60-421D-8842-A55565462F81}">
  <dimension ref="A1:I30"/>
  <sheetViews>
    <sheetView topLeftCell="A9" workbookViewId="0">
      <selection activeCell="G25" sqref="G25"/>
    </sheetView>
  </sheetViews>
  <sheetFormatPr defaultRowHeight="14.4" x14ac:dyDescent="0.3"/>
  <sheetData>
    <row r="1" spans="1:9" x14ac:dyDescent="0.3">
      <c r="A1" t="s">
        <v>108</v>
      </c>
    </row>
    <row r="2" spans="1:9" ht="15" thickBot="1" x14ac:dyDescent="0.35"/>
    <row r="3" spans="1:9" x14ac:dyDescent="0.3">
      <c r="A3" s="5" t="s">
        <v>109</v>
      </c>
      <c r="B3" s="5"/>
    </row>
    <row r="4" spans="1:9" x14ac:dyDescent="0.3">
      <c r="A4" s="2" t="s">
        <v>110</v>
      </c>
      <c r="B4" s="2">
        <v>0.90465750254165744</v>
      </c>
    </row>
    <row r="5" spans="1:9" x14ac:dyDescent="0.3">
      <c r="A5" s="2" t="s">
        <v>111</v>
      </c>
      <c r="B5" s="2">
        <v>0.81840519690490887</v>
      </c>
    </row>
    <row r="6" spans="1:9" x14ac:dyDescent="0.3">
      <c r="A6" s="2" t="s">
        <v>112</v>
      </c>
      <c r="B6" s="2">
        <v>0.81069038500871216</v>
      </c>
    </row>
    <row r="7" spans="1:9" x14ac:dyDescent="0.3">
      <c r="A7" s="2" t="s">
        <v>113</v>
      </c>
      <c r="B7" s="2">
        <v>45150.755773773897</v>
      </c>
    </row>
    <row r="8" spans="1:9" ht="15" thickBot="1" x14ac:dyDescent="0.35">
      <c r="A8" s="3" t="s">
        <v>114</v>
      </c>
      <c r="B8" s="3">
        <v>320</v>
      </c>
    </row>
    <row r="10" spans="1:9" ht="15" thickBot="1" x14ac:dyDescent="0.35">
      <c r="A10" t="s">
        <v>115</v>
      </c>
    </row>
    <row r="11" spans="1:9" x14ac:dyDescent="0.3">
      <c r="A11" s="4"/>
      <c r="B11" s="4" t="s">
        <v>120</v>
      </c>
      <c r="C11" s="4" t="s">
        <v>121</v>
      </c>
      <c r="D11" s="4" t="s">
        <v>122</v>
      </c>
      <c r="E11" s="4" t="s">
        <v>123</v>
      </c>
      <c r="F11" s="4" t="s">
        <v>124</v>
      </c>
    </row>
    <row r="12" spans="1:9" x14ac:dyDescent="0.3">
      <c r="A12" s="2" t="s">
        <v>116</v>
      </c>
      <c r="B12" s="2">
        <v>13</v>
      </c>
      <c r="C12" s="2">
        <v>2811359848226.1885</v>
      </c>
      <c r="D12" s="2">
        <v>216258449863.55295</v>
      </c>
      <c r="E12" s="2">
        <v>106.08232681711574</v>
      </c>
      <c r="F12" s="2">
        <v>5.9466210405056933E-105</v>
      </c>
    </row>
    <row r="13" spans="1:9" x14ac:dyDescent="0.3">
      <c r="A13" s="2" t="s">
        <v>117</v>
      </c>
      <c r="B13" s="2">
        <v>306</v>
      </c>
      <c r="C13" s="2">
        <v>623808768564.5509</v>
      </c>
      <c r="D13" s="2">
        <v>2038590746.9429767</v>
      </c>
      <c r="E13" s="2"/>
      <c r="F13" s="2"/>
    </row>
    <row r="14" spans="1:9" ht="15" thickBot="1" x14ac:dyDescent="0.35">
      <c r="A14" s="3" t="s">
        <v>118</v>
      </c>
      <c r="B14" s="3">
        <v>319</v>
      </c>
      <c r="C14" s="3">
        <v>3435168616790.7393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125</v>
      </c>
      <c r="C16" s="4" t="s">
        <v>113</v>
      </c>
      <c r="D16" s="4" t="s">
        <v>126</v>
      </c>
      <c r="E16" s="4" t="s">
        <v>127</v>
      </c>
      <c r="F16" s="4" t="s">
        <v>128</v>
      </c>
      <c r="G16" s="4" t="s">
        <v>129</v>
      </c>
      <c r="H16" s="4" t="s">
        <v>130</v>
      </c>
      <c r="I16" s="4" t="s">
        <v>131</v>
      </c>
    </row>
    <row r="17" spans="1:9" x14ac:dyDescent="0.3">
      <c r="A17" s="2" t="s">
        <v>119</v>
      </c>
      <c r="B17" s="2">
        <v>82258.980520192708</v>
      </c>
      <c r="C17" s="2">
        <v>49817.916826846158</v>
      </c>
      <c r="D17" s="2">
        <v>1.6511926985245704</v>
      </c>
      <c r="E17" s="2">
        <v>9.972508642247907E-2</v>
      </c>
      <c r="F17" s="2">
        <v>-15770.062789339354</v>
      </c>
      <c r="G17" s="2">
        <v>180288.02382972476</v>
      </c>
      <c r="H17" s="2">
        <v>-15770.062789339354</v>
      </c>
      <c r="I17" s="2">
        <v>180288.02382972476</v>
      </c>
    </row>
    <row r="18" spans="1:9" x14ac:dyDescent="0.3">
      <c r="A18" s="2" t="s">
        <v>5</v>
      </c>
      <c r="B18" s="2">
        <v>28.515434819535241</v>
      </c>
      <c r="C18" s="2">
        <v>2.5771975993061007</v>
      </c>
      <c r="D18" s="2">
        <v>11.064512409608366</v>
      </c>
      <c r="E18" s="2">
        <v>3.6817007967170017E-24</v>
      </c>
      <c r="F18" s="2">
        <v>23.444162651377145</v>
      </c>
      <c r="G18" s="2">
        <v>33.586706987693333</v>
      </c>
      <c r="H18" s="2">
        <v>23.444162651377145</v>
      </c>
      <c r="I18" s="2">
        <v>33.586706987693333</v>
      </c>
    </row>
    <row r="19" spans="1:9" x14ac:dyDescent="0.3">
      <c r="A19" s="2" t="s">
        <v>7</v>
      </c>
      <c r="B19" s="2">
        <v>2732.911563746944</v>
      </c>
      <c r="C19" s="2">
        <v>1298.0837642838414</v>
      </c>
      <c r="D19" s="2">
        <v>2.1053429978416713</v>
      </c>
      <c r="E19" s="2">
        <v>3.6076243193731247E-2</v>
      </c>
      <c r="F19" s="2">
        <v>178.61147145950508</v>
      </c>
      <c r="G19" s="2">
        <v>5287.2116560343829</v>
      </c>
      <c r="H19" s="2">
        <v>178.61147145950508</v>
      </c>
      <c r="I19" s="2">
        <v>5287.2116560343829</v>
      </c>
    </row>
    <row r="20" spans="1:9" x14ac:dyDescent="0.3">
      <c r="A20" s="2" t="s">
        <v>4</v>
      </c>
      <c r="B20" s="2">
        <v>1.155120947448981</v>
      </c>
      <c r="C20" s="2">
        <v>0.13126624675622009</v>
      </c>
      <c r="D20" s="2">
        <v>8.7998322188201463</v>
      </c>
      <c r="E20" s="2">
        <v>1.0253632031678446E-16</v>
      </c>
      <c r="F20" s="2">
        <v>0.89682221863880929</v>
      </c>
      <c r="G20" s="2">
        <v>1.4134196762591527</v>
      </c>
      <c r="H20" s="2">
        <v>0.89682221863880929</v>
      </c>
      <c r="I20" s="2">
        <v>1.4134196762591527</v>
      </c>
    </row>
    <row r="21" spans="1:9" x14ac:dyDescent="0.3">
      <c r="A21" s="2" t="s">
        <v>8</v>
      </c>
      <c r="B21" s="2">
        <v>3007.319064262756</v>
      </c>
      <c r="C21" s="2">
        <v>475.98538851559522</v>
      </c>
      <c r="D21" s="2">
        <v>6.3180911364555969</v>
      </c>
      <c r="E21" s="2">
        <v>9.3292394265567648E-10</v>
      </c>
      <c r="F21" s="2">
        <v>2070.7003688709183</v>
      </c>
      <c r="G21" s="2">
        <v>3943.9377596545937</v>
      </c>
      <c r="H21" s="2">
        <v>2070.7003688709183</v>
      </c>
      <c r="I21" s="2">
        <v>3943.9377596545937</v>
      </c>
    </row>
    <row r="22" spans="1:9" x14ac:dyDescent="0.3">
      <c r="A22" s="2" t="s">
        <v>6</v>
      </c>
      <c r="B22" s="2">
        <v>-79835.836805897867</v>
      </c>
      <c r="C22" s="2">
        <v>37376.992027719985</v>
      </c>
      <c r="D22" s="2">
        <v>-2.1359620577998633</v>
      </c>
      <c r="E22" s="2">
        <v>3.3475926280803169E-2</v>
      </c>
      <c r="F22" s="2">
        <v>-153384.29092935298</v>
      </c>
      <c r="G22" s="2">
        <v>-6287.382682442767</v>
      </c>
      <c r="H22" s="2">
        <v>-153384.29092935298</v>
      </c>
      <c r="I22" s="2">
        <v>-6287.382682442767</v>
      </c>
    </row>
    <row r="23" spans="1:9" x14ac:dyDescent="0.3">
      <c r="A23" s="2" t="s">
        <v>11</v>
      </c>
      <c r="B23" s="2">
        <v>11022.300538790147</v>
      </c>
      <c r="C23" s="2">
        <v>4919.6447954527976</v>
      </c>
      <c r="D23" s="2">
        <v>2.240466740399226</v>
      </c>
      <c r="E23" s="2">
        <v>2.5778034703065257E-2</v>
      </c>
      <c r="F23" s="2">
        <v>1341.685542438694</v>
      </c>
      <c r="G23" s="2">
        <v>20702.915535141598</v>
      </c>
      <c r="H23" s="2">
        <v>1341.685542438694</v>
      </c>
      <c r="I23" s="2">
        <v>20702.915535141598</v>
      </c>
    </row>
    <row r="24" spans="1:9" x14ac:dyDescent="0.3">
      <c r="A24" s="2" t="s">
        <v>10</v>
      </c>
      <c r="B24" s="2">
        <v>12953.136651058456</v>
      </c>
      <c r="C24" s="2">
        <v>6855.656449025555</v>
      </c>
      <c r="D24" s="2">
        <v>1.8894086579994218</v>
      </c>
      <c r="E24" s="2">
        <v>5.9782322630106556E-2</v>
      </c>
      <c r="F24" s="2">
        <v>-537.05896054606092</v>
      </c>
      <c r="G24" s="2">
        <v>26443.332262662974</v>
      </c>
      <c r="H24" s="2">
        <v>-537.05896054606092</v>
      </c>
      <c r="I24" s="2">
        <v>26443.332262662974</v>
      </c>
    </row>
    <row r="25" spans="1:9" x14ac:dyDescent="0.3">
      <c r="A25" s="2" t="s">
        <v>102</v>
      </c>
      <c r="B25" s="2">
        <v>0</v>
      </c>
      <c r="C25" s="2">
        <v>0</v>
      </c>
      <c r="D25" s="2">
        <v>65535</v>
      </c>
      <c r="E25" s="2" t="e">
        <v>#NUM!</v>
      </c>
      <c r="F25" s="2">
        <v>0</v>
      </c>
      <c r="G25" s="2">
        <v>0</v>
      </c>
      <c r="H25" s="2">
        <v>0</v>
      </c>
      <c r="I25" s="2">
        <v>0</v>
      </c>
    </row>
    <row r="26" spans="1:9" x14ac:dyDescent="0.3">
      <c r="A26" s="2" t="s">
        <v>103</v>
      </c>
      <c r="B26" s="2">
        <v>0</v>
      </c>
      <c r="C26" s="2">
        <v>0</v>
      </c>
      <c r="D26" s="2">
        <v>65535</v>
      </c>
      <c r="E26" s="2" t="e">
        <v>#NUM!</v>
      </c>
      <c r="F26" s="2">
        <v>0</v>
      </c>
      <c r="G26" s="2">
        <v>0</v>
      </c>
      <c r="H26" s="2">
        <v>0</v>
      </c>
      <c r="I26" s="2">
        <v>0</v>
      </c>
    </row>
    <row r="27" spans="1:9" x14ac:dyDescent="0.3">
      <c r="A27" s="2" t="s">
        <v>104</v>
      </c>
      <c r="B27" s="2">
        <v>0</v>
      </c>
      <c r="C27" s="2">
        <v>0</v>
      </c>
      <c r="D27" s="2">
        <v>65535</v>
      </c>
      <c r="E27" s="2" t="e">
        <v>#NUM!</v>
      </c>
      <c r="F27" s="2">
        <v>0</v>
      </c>
      <c r="G27" s="2">
        <v>0</v>
      </c>
      <c r="H27" s="2">
        <v>0</v>
      </c>
      <c r="I27" s="2">
        <v>0</v>
      </c>
    </row>
    <row r="28" spans="1:9" x14ac:dyDescent="0.3">
      <c r="A28" s="2" t="s">
        <v>105</v>
      </c>
      <c r="B28" s="2">
        <v>0</v>
      </c>
      <c r="C28" s="2">
        <v>0</v>
      </c>
      <c r="D28" s="2">
        <v>65535</v>
      </c>
      <c r="E28" s="2" t="e">
        <v>#NUM!</v>
      </c>
      <c r="F28" s="2">
        <v>0</v>
      </c>
      <c r="G28" s="2">
        <v>0</v>
      </c>
      <c r="H28" s="2">
        <v>0</v>
      </c>
      <c r="I28" s="2">
        <v>0</v>
      </c>
    </row>
    <row r="29" spans="1:9" x14ac:dyDescent="0.3">
      <c r="A29" s="2" t="s">
        <v>106</v>
      </c>
      <c r="B29" s="2">
        <v>0</v>
      </c>
      <c r="C29" s="2">
        <v>0</v>
      </c>
      <c r="D29" s="2">
        <v>65535</v>
      </c>
      <c r="E29" s="2" t="e">
        <v>#NUM!</v>
      </c>
      <c r="F29" s="2">
        <v>0</v>
      </c>
      <c r="G29" s="2">
        <v>0</v>
      </c>
      <c r="H29" s="2">
        <v>0</v>
      </c>
      <c r="I29" s="2">
        <v>0</v>
      </c>
    </row>
    <row r="30" spans="1:9" ht="15" thickBot="1" x14ac:dyDescent="0.35">
      <c r="A30" s="3" t="s">
        <v>107</v>
      </c>
      <c r="B30" s="3">
        <v>0</v>
      </c>
      <c r="C30" s="3">
        <v>0</v>
      </c>
      <c r="D30" s="3">
        <v>65535</v>
      </c>
      <c r="E30" s="3" t="e">
        <v>#NUM!</v>
      </c>
      <c r="F30" s="3">
        <v>0</v>
      </c>
      <c r="G30" s="3">
        <v>0</v>
      </c>
      <c r="H30" s="3">
        <v>0</v>
      </c>
      <c r="I30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5C21-F36D-4E5F-BA5F-1412885A0A2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C09-6152-409A-952A-D3FDA654A5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</vt:lpstr>
      <vt:lpstr>cleaned_data</vt:lpstr>
      <vt:lpstr>dummy_var</vt:lpstr>
      <vt:lpstr>simple_reg</vt:lpstr>
      <vt:lpstr>multiple_reg</vt:lpstr>
      <vt:lpstr>predic_residuals</vt:lpstr>
      <vt:lpstr>model_comp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2015-06-05T18:17:20Z</dcterms:created>
  <dcterms:modified xsi:type="dcterms:W3CDTF">2026-06-27T22:01:49Z</dcterms:modified>
</cp:coreProperties>
</file>